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25820" windowHeight="13900" tabRatio="500" firstSheet="4" activeTab="7" autoFilterDateGrouping="1"/>
  </bookViews>
  <sheets>
    <sheet name="DASHBOARD" sheetId="1" state="visible" r:id="rId1"/>
    <sheet name="REZUMAT EXECUTIV" sheetId="2" state="visible" r:id="rId2"/>
    <sheet name="SEMNALE INTRARE" sheetId="3" state="visible" r:id="rId3"/>
    <sheet name="INDICATORI TEHNICI" sheetId="4" state="visible" r:id="rId4"/>
    <sheet name="INDICATORI MACRO" sheetId="5" state="visible" r:id="rId5"/>
    <sheet name="COMPETITORI SECTOR" sheetId="6" state="visible" r:id="rId6"/>
    <sheet name="PRETURI VOLUME" sheetId="7" state="visible" r:id="rId7"/>
    <sheet name="RISCURI OPORTUNITATI" sheetId="8" state="visible" r:id="rId8"/>
    <sheet name="CALENDAR ECONOMIC" sheetId="9" state="visible" r:id="rId9"/>
    <sheet name="JURNAL TRANZACTII" sheetId="10" state="visible" r:id="rId10"/>
    <sheet name="ISTORIC TRENDING" sheetId="11" state="visible" r:id="rId11"/>
    <sheet name="LEGENDA" sheetId="12" state="visible" r:id="rId12"/>
    <sheet name="GHID INVATARE" sheetId="13" state="visible" r:id="rId13"/>
  </sheets>
  <definedNames/>
  <calcPr calcId="191029" fullCalcOnLoad="1" iterateDelta="0.0001"/>
</workbook>
</file>

<file path=xl/styles.xml><?xml version="1.0" encoding="utf-8"?>
<styleSheet xmlns="http://schemas.openxmlformats.org/spreadsheetml/2006/main">
  <numFmts count="8">
    <numFmt numFmtId="164" formatCode="0.00\x"/>
    <numFmt numFmtId="165" formatCode="0.0%"/>
    <numFmt numFmtId="166" formatCode="#,##0.0"/>
    <numFmt numFmtId="167" formatCode="0.0"/>
    <numFmt numFmtId="168" formatCode="#,##0.0000"/>
    <numFmt numFmtId="169" formatCode="0.000000"/>
    <numFmt numFmtId="170" formatCode="0.0000"/>
    <numFmt numFmtId="171" formatCode="0.0\x"/>
  </numFmts>
  <fonts count="55">
    <font>
      <name val="Calibri"/>
      <charset val="1"/>
      <family val="2"/>
      <color theme="1"/>
      <sz val="11"/>
    </font>
    <font>
      <name val="Arial"/>
      <charset val="1"/>
      <b val="1"/>
      <color rgb="FFFFFFFF"/>
      <sz val="16"/>
    </font>
    <font>
      <name val="Arial"/>
      <charset val="1"/>
      <b val="1"/>
      <color rgb="FFFFFFFF"/>
      <sz val="10"/>
    </font>
    <font>
      <name val="Arial"/>
      <charset val="1"/>
      <b val="1"/>
      <color rgb="FF1F4E79"/>
      <sz val="10"/>
    </font>
    <font>
      <name val="Arial"/>
      <charset val="1"/>
      <b val="1"/>
      <color rgb="FF375623"/>
      <sz val="9"/>
    </font>
    <font>
      <name val="Arial"/>
      <charset val="1"/>
      <b val="1"/>
      <color rgb="FF9C6500"/>
      <sz val="9"/>
    </font>
    <font>
      <name val="Arial"/>
      <charset val="1"/>
      <b val="1"/>
      <color rgb="FF375623"/>
      <sz val="14"/>
    </font>
    <font>
      <name val="Arial"/>
      <charset val="1"/>
      <b val="1"/>
      <color rgb="FF9C6500"/>
      <sz val="14"/>
    </font>
    <font>
      <name val="Arial"/>
      <charset val="1"/>
      <i val="1"/>
      <color rgb="FF375623"/>
      <sz val="8"/>
    </font>
    <font>
      <name val="Arial"/>
      <charset val="1"/>
      <i val="1"/>
      <color rgb="FF9C6500"/>
      <sz val="8"/>
    </font>
    <font>
      <name val="Arial"/>
      <charset val="1"/>
      <b val="1"/>
      <color rgb="FFFFFFFF"/>
      <sz val="12"/>
    </font>
    <font>
      <name val="Arial"/>
      <charset val="1"/>
      <b val="1"/>
      <color rgb="FF1F4E79"/>
      <sz val="11"/>
    </font>
    <font>
      <name val="Arial"/>
      <charset val="1"/>
      <b val="1"/>
      <color rgb="FF9C0006"/>
      <sz val="11"/>
    </font>
    <font>
      <name val="Arial"/>
      <charset val="1"/>
      <b val="1"/>
      <color rgb="FF375623"/>
      <sz val="11"/>
    </font>
    <font>
      <name val="Arial"/>
      <charset val="1"/>
      <b val="1"/>
      <color rgb="FF9C6500"/>
      <sz val="11"/>
    </font>
    <font>
      <name val="Arial"/>
      <charset val="1"/>
      <b val="1"/>
      <color rgb="FF000000"/>
      <sz val="11"/>
    </font>
    <font>
      <name val="Arial"/>
      <charset val="1"/>
      <b val="1"/>
      <color rgb="FF000000"/>
      <sz val="10"/>
    </font>
    <font>
      <name val="Arial"/>
      <charset val="1"/>
      <b val="1"/>
      <color rgb="FFFFFFFF"/>
      <sz val="14"/>
    </font>
    <font>
      <name val="Arial"/>
      <charset val="1"/>
      <b val="1"/>
      <color rgb="FFFFFFFF"/>
      <sz val="11"/>
    </font>
    <font>
      <name val="Arial"/>
      <charset val="1"/>
      <color rgb="FF000000"/>
      <sz val="10"/>
    </font>
    <font>
      <name val="Arial"/>
      <charset val="1"/>
      <b val="1"/>
      <color rgb="FF833C00"/>
      <sz val="10"/>
    </font>
    <font>
      <name val="Arial"/>
      <charset val="1"/>
      <i val="1"/>
      <color rgb="FF000000"/>
      <sz val="9"/>
    </font>
    <font>
      <name val="Arial"/>
      <charset val="1"/>
      <b val="1"/>
      <color rgb="FF2E75B6"/>
      <sz val="10"/>
    </font>
    <font>
      <name val="Arial"/>
      <charset val="1"/>
      <b val="1"/>
      <color rgb="FF000000"/>
      <sz val="8"/>
    </font>
    <font>
      <name val="Arial"/>
      <charset val="1"/>
      <color rgb="FF595959"/>
      <sz val="10"/>
    </font>
    <font>
      <name val="Arial"/>
      <charset val="1"/>
      <b val="1"/>
      <color rgb="FF595959"/>
      <sz val="10"/>
    </font>
    <font>
      <name val="Arial"/>
      <charset val="1"/>
      <color rgb="FFFFFFFF"/>
      <sz val="10"/>
    </font>
    <font>
      <name val="Arial"/>
      <charset val="1"/>
      <color rgb="FF375623"/>
      <sz val="10"/>
    </font>
    <font>
      <name val="Arial"/>
      <charset val="1"/>
      <b val="1"/>
      <color rgb="FF375623"/>
      <sz val="10"/>
    </font>
    <font>
      <name val="Arial"/>
      <charset val="1"/>
      <color rgb="FF9C6500"/>
      <sz val="10"/>
    </font>
    <font>
      <name val="Arial"/>
      <charset val="1"/>
      <b val="1"/>
      <color rgb="FF9C6500"/>
      <sz val="10"/>
    </font>
    <font>
      <name val="Arial"/>
      <charset val="1"/>
      <color rgb="FF9C0006"/>
      <sz val="10"/>
    </font>
    <font>
      <name val="Arial"/>
      <charset val="1"/>
      <b val="1"/>
      <color rgb="FF9C0006"/>
      <sz val="10"/>
    </font>
    <font>
      <name val="Arial"/>
      <charset val="1"/>
      <color rgb="FF833C00"/>
      <sz val="10"/>
    </font>
    <font>
      <name val="Arial"/>
      <color rgb="FF9C0006"/>
      <sz val="10"/>
    </font>
    <font>
      <name val="Arial"/>
      <color rgb="FF375623"/>
      <sz val="10"/>
    </font>
    <font>
      <name val="Arial"/>
      <color rgb="FF9C6500"/>
      <sz val="10"/>
    </font>
    <font>
      <name val="Arial"/>
      <b val="1"/>
      <color rgb="FFFFFFFF"/>
      <sz val="10"/>
    </font>
    <font>
      <name val="Arial"/>
      <b val="1"/>
      <color rgb="FF000000"/>
      <sz val="10"/>
    </font>
    <font>
      <name val="Arial"/>
      <color rgb="FF9C0006"/>
      <sz val="10"/>
    </font>
    <font>
      <name val="Arial"/>
      <color rgb="FF375623"/>
      <sz val="10"/>
    </font>
    <font>
      <name val="Arial"/>
      <color rgb="FF9C6500"/>
      <sz val="10"/>
    </font>
    <font>
      <name val="Arial"/>
      <b val="1"/>
      <color rgb="FFFFFFFF"/>
      <sz val="15"/>
    </font>
    <font>
      <name val="Arial"/>
      <b val="1"/>
      <color rgb="FFFFFFFF"/>
      <sz val="11"/>
    </font>
    <font>
      <name val="Arial"/>
      <b val="1"/>
      <color rgb="FF1F4E79"/>
      <sz val="10"/>
    </font>
    <font>
      <name val="Arial"/>
      <color rgb="FF000000"/>
      <sz val="10"/>
    </font>
    <font>
      <name val="Arial"/>
      <b val="1"/>
      <color rgb="FFFFFFFF"/>
      <sz val="14"/>
    </font>
    <font>
      <name val="Arial"/>
      <color rgb="FF1A252F"/>
      <sz val="10"/>
    </font>
    <font>
      <name val="Arial"/>
      <b val="1"/>
      <color rgb="00FFFFFF"/>
      <sz val="15"/>
    </font>
    <font>
      <name val="Arial"/>
      <b val="1"/>
      <color rgb="00FFFFFF"/>
      <sz val="11"/>
    </font>
    <font>
      <name val="Arial"/>
      <b val="1"/>
      <color rgb="001F4E79"/>
      <sz val="10"/>
    </font>
    <font>
      <name val="Arial"/>
      <color rgb="00000000"/>
      <sz val="10"/>
    </font>
    <font>
      <name val="Arial"/>
      <b val="1"/>
      <color rgb="00FFFFFF"/>
      <sz val="14"/>
    </font>
    <font>
      <name val="Arial"/>
      <b val="1"/>
      <color rgb="00FFFFFF"/>
      <sz val="10"/>
    </font>
    <font>
      <name val="Arial"/>
      <color rgb="001A252F"/>
      <sz val="10"/>
    </font>
  </fonts>
  <fills count="46">
    <fill>
      <patternFill/>
    </fill>
    <fill>
      <patternFill patternType="gray125"/>
    </fill>
    <fill>
      <patternFill patternType="solid">
        <fgColor rgb="FF1A3A5C"/>
        <bgColor rgb="FF1F4E79"/>
      </patternFill>
    </fill>
    <fill>
      <patternFill patternType="solid">
        <fgColor rgb="FF2E75B6"/>
        <bgColor rgb="FF0066CC"/>
      </patternFill>
    </fill>
    <fill>
      <patternFill patternType="solid">
        <fgColor rgb="FFD9E1F2"/>
        <bgColor rgb="FFD6DCE4"/>
      </patternFill>
    </fill>
    <fill>
      <patternFill patternType="solid">
        <fgColor rgb="FFC6EFCE"/>
        <bgColor rgb="FFE2EFDA"/>
      </patternFill>
    </fill>
    <fill>
      <patternFill patternType="solid">
        <fgColor rgb="FFFFEB9C"/>
        <bgColor rgb="FFFCE4D6"/>
      </patternFill>
    </fill>
    <fill>
      <patternFill patternType="solid">
        <fgColor rgb="FFFFC7CE"/>
        <bgColor rgb="FFFCE4D6"/>
      </patternFill>
    </fill>
    <fill>
      <patternFill patternType="solid">
        <fgColor rgb="FFF2F2F2"/>
        <bgColor rgb="FFE2EFDA"/>
      </patternFill>
    </fill>
    <fill>
      <patternFill patternType="solid">
        <fgColor rgb="FFD6DCE4"/>
        <bgColor rgb="FFD9E1F2"/>
      </patternFill>
    </fill>
    <fill>
      <patternFill patternType="solid">
        <fgColor rgb="FF1F4E79"/>
        <bgColor rgb="FF1A3A5C"/>
      </patternFill>
    </fill>
    <fill>
      <patternFill patternType="solid">
        <fgColor rgb="FFFFFFFF"/>
        <bgColor rgb="FFF2F2F2"/>
      </patternFill>
    </fill>
    <fill>
      <patternFill patternType="solid">
        <fgColor rgb="FFFCE4D6"/>
        <bgColor rgb="FFF2F2F2"/>
      </patternFill>
    </fill>
    <fill>
      <patternFill patternType="solid">
        <fgColor rgb="FFBFBFBF"/>
        <bgColor rgb="FFBDD7EE"/>
      </patternFill>
    </fill>
    <fill>
      <patternFill patternType="solid">
        <fgColor rgb="FFFFC7CE"/>
      </patternFill>
    </fill>
    <fill>
      <patternFill patternType="solid">
        <fgColor rgb="FFC6EFCE"/>
      </patternFill>
    </fill>
    <fill>
      <patternFill patternType="solid">
        <fgColor rgb="FFFFEB9C"/>
      </patternFill>
    </fill>
    <fill>
      <patternFill patternType="solid">
        <fgColor rgb="FF1F4E79"/>
      </patternFill>
    </fill>
    <fill>
      <patternFill patternType="solid">
        <fgColor rgb="FFFFC7CE"/>
      </patternFill>
    </fill>
    <fill>
      <patternFill patternType="solid">
        <fgColor rgb="FFC6EFCE"/>
      </patternFill>
    </fill>
    <fill>
      <patternFill patternType="solid">
        <fgColor rgb="FFFFEB9C"/>
      </patternFill>
    </fill>
    <fill>
      <patternFill patternType="solid">
        <fgColor rgb="FFF2F2F2"/>
      </patternFill>
    </fill>
    <fill>
      <patternFill patternType="solid">
        <fgColor rgb="FFE2EFDA"/>
      </patternFill>
    </fill>
    <fill>
      <patternFill patternType="solid">
        <fgColor rgb="FF0D2137"/>
      </patternFill>
    </fill>
    <fill>
      <patternFill patternType="solid">
        <fgColor rgb="FF1E6B3C"/>
      </patternFill>
    </fill>
    <fill>
      <patternFill patternType="solid">
        <fgColor rgb="FFD6DCE4"/>
      </patternFill>
    </fill>
    <fill>
      <patternFill patternType="solid">
        <fgColor rgb="FFFFFFFF"/>
      </patternFill>
    </fill>
    <fill>
      <patternFill patternType="solid">
        <fgColor rgb="FF7D5A00"/>
      </patternFill>
    </fill>
    <fill>
      <patternFill patternType="solid">
        <fgColor rgb="FF8B0000"/>
      </patternFill>
    </fill>
    <fill>
      <patternFill patternType="solid">
        <fgColor rgb="FF0A1628"/>
      </patternFill>
    </fill>
    <fill>
      <patternFill patternType="solid">
        <fgColor rgb="FF154360"/>
      </patternFill>
    </fill>
    <fill>
      <patternFill patternType="solid">
        <fgColor rgb="FF1A5276"/>
      </patternFill>
    </fill>
    <fill>
      <patternFill patternType="solid">
        <fgColor rgb="FFEBF5FB"/>
      </patternFill>
    </fill>
    <fill>
      <patternFill patternType="solid">
        <fgColor rgb="FF2E75B6"/>
      </patternFill>
    </fill>
    <fill>
      <patternFill patternType="solid">
        <fgColor rgb="000D2137"/>
      </patternFill>
    </fill>
    <fill>
      <patternFill patternType="solid">
        <fgColor rgb="001F4E79"/>
      </patternFill>
    </fill>
    <fill>
      <patternFill patternType="solid">
        <fgColor rgb="007D5A00"/>
      </patternFill>
    </fill>
    <fill>
      <patternFill patternType="solid">
        <fgColor rgb="00D6DCE4"/>
      </patternFill>
    </fill>
    <fill>
      <patternFill patternType="solid">
        <fgColor rgb="00FFFFFF"/>
      </patternFill>
    </fill>
    <fill>
      <patternFill patternType="solid">
        <fgColor rgb="001E6B3C"/>
      </patternFill>
    </fill>
    <fill>
      <patternFill patternType="solid">
        <fgColor rgb="008B0000"/>
      </patternFill>
    </fill>
    <fill>
      <patternFill patternType="solid">
        <fgColor rgb="000A1628"/>
      </patternFill>
    </fill>
    <fill>
      <patternFill patternType="solid">
        <fgColor rgb="00154360"/>
      </patternFill>
    </fill>
    <fill>
      <patternFill patternType="solid">
        <fgColor rgb="001A5276"/>
      </patternFill>
    </fill>
    <fill>
      <patternFill patternType="solid">
        <fgColor rgb="00EBF5FB"/>
      </patternFill>
    </fill>
    <fill>
      <patternFill patternType="solid">
        <fgColor rgb="002E75B6"/>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medium">
        <color rgb="FF1F4E79"/>
      </left>
      <right style="medium">
        <color rgb="FF1F4E79"/>
      </right>
      <top style="medium">
        <color rgb="FF1F4E79"/>
      </top>
      <bottom style="medium">
        <color rgb="FF1F4E79"/>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194">
    <xf numFmtId="0" fontId="0" fillId="0" borderId="0" pivotButton="0" quotePrefix="0" xfId="0"/>
    <xf numFmtId="0" fontId="2" fillId="10" borderId="1" applyAlignment="1" pivotButton="0" quotePrefix="0" xfId="0">
      <alignment horizontal="center" vertical="center" wrapText="1"/>
    </xf>
    <xf numFmtId="0" fontId="16" fillId="9"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4" borderId="1" pivotButton="0" quotePrefix="0" xfId="0"/>
    <xf numFmtId="0" fontId="0" fillId="4" borderId="1" pivotButton="0" quotePrefix="0" xfId="0"/>
    <xf numFmtId="0" fontId="0" fillId="8" borderId="1" applyAlignment="1" pivotButton="0" quotePrefix="0" xfId="0">
      <alignment horizontal="center" vertical="center" wrapText="1"/>
    </xf>
    <xf numFmtId="0" fontId="19" fillId="11" borderId="1" applyAlignment="1" pivotButton="0" quotePrefix="0" xfId="0">
      <alignment horizontal="left" vertical="center" wrapText="1"/>
    </xf>
    <xf numFmtId="0" fontId="0" fillId="4" borderId="1" applyAlignment="1" pivotButton="0" quotePrefix="0" xfId="0">
      <alignment horizontal="left" vertical="center" wrapText="1"/>
    </xf>
    <xf numFmtId="164" fontId="0" fillId="8" borderId="1" applyAlignment="1" pivotButton="0" quotePrefix="0" xfId="0">
      <alignment horizontal="center" vertical="center" wrapText="1"/>
    </xf>
    <xf numFmtId="4" fontId="0" fillId="8" borderId="1" applyAlignment="1" pivotButton="0" quotePrefix="0" xfId="0">
      <alignment horizontal="center" vertical="center" wrapText="1"/>
    </xf>
    <xf numFmtId="3" fontId="0" fillId="8" borderId="1" applyAlignment="1" pivotButton="0" quotePrefix="0" xfId="0">
      <alignment horizontal="center" vertical="center" wrapText="1"/>
    </xf>
    <xf numFmtId="4" fontId="0" fillId="4" borderId="1" applyAlignment="1" pivotButton="0" quotePrefix="0" xfId="0">
      <alignment horizontal="center" vertical="center" wrapText="1"/>
    </xf>
    <xf numFmtId="10" fontId="0" fillId="8" borderId="1" applyAlignment="1" pivotButton="0" quotePrefix="0" xfId="0">
      <alignment horizontal="center" vertical="center" wrapText="1"/>
    </xf>
    <xf numFmtId="0" fontId="0" fillId="8" borderId="1" applyAlignment="1" pivotButton="0" quotePrefix="0" xfId="0">
      <alignment horizontal="left" vertical="center" wrapText="1"/>
    </xf>
    <xf numFmtId="165" fontId="0" fillId="4" borderId="1" applyAlignment="1" pivotButton="0" quotePrefix="0" xfId="0">
      <alignment horizontal="center" vertical="center" wrapText="1"/>
    </xf>
    <xf numFmtId="166" fontId="0" fillId="8" borderId="1" applyAlignment="1" pivotButton="0" quotePrefix="0" xfId="0">
      <alignment horizontal="center" vertical="center" wrapText="1"/>
    </xf>
    <xf numFmtId="0" fontId="22" fillId="9" borderId="1" applyAlignment="1" pivotButton="0" quotePrefix="0" xfId="0">
      <alignment horizontal="center" vertical="center" wrapText="1"/>
    </xf>
    <xf numFmtId="2" fontId="0" fillId="8" borderId="1" applyAlignment="1" pivotButton="0" quotePrefix="0" xfId="0">
      <alignment horizontal="center" vertical="center" wrapText="1"/>
    </xf>
    <xf numFmtId="0" fontId="23" fillId="9" borderId="1" applyAlignment="1" pivotButton="0" quotePrefix="0" xfId="0">
      <alignment horizontal="center" vertical="center" wrapText="1"/>
    </xf>
    <xf numFmtId="0" fontId="16" fillId="6" borderId="2" applyAlignment="1" pivotButton="0" quotePrefix="0" xfId="0">
      <alignment horizontal="center" vertical="center" wrapText="1"/>
    </xf>
    <xf numFmtId="0" fontId="16" fillId="12" borderId="2" applyAlignment="1" pivotButton="0" quotePrefix="0" xfId="0">
      <alignment horizontal="center" vertical="center" wrapText="1"/>
    </xf>
    <xf numFmtId="0" fontId="16" fillId="7" borderId="2" applyAlignment="1" pivotButton="0" quotePrefix="0" xfId="0">
      <alignment horizontal="center" vertical="center" wrapText="1"/>
    </xf>
    <xf numFmtId="0" fontId="16" fillId="5" borderId="2" applyAlignment="1" pivotButton="0" quotePrefix="0" xfId="0">
      <alignment horizontal="center" vertical="center" wrapText="1"/>
    </xf>
    <xf numFmtId="0" fontId="16" fillId="9" borderId="1" applyAlignment="1" pivotButton="0" quotePrefix="0" xfId="0">
      <alignment horizontal="center" vertical="center" wrapText="1"/>
    </xf>
    <xf numFmtId="0" fontId="0" fillId="5" borderId="1" applyAlignment="1" pivotButton="0" quotePrefix="0" xfId="0">
      <alignment horizontal="center" vertical="center" wrapText="1"/>
    </xf>
    <xf numFmtId="3" fontId="0" fillId="4" borderId="1" applyAlignment="1" pivotButton="0" quotePrefix="0" xfId="0">
      <alignment horizontal="center" vertical="center" wrapText="1"/>
    </xf>
    <xf numFmtId="167" fontId="0" fillId="8" borderId="1" applyAlignment="1" pivotButton="0" quotePrefix="0" xfId="0">
      <alignment horizontal="center" vertical="center" wrapText="1"/>
    </xf>
    <xf numFmtId="0" fontId="19" fillId="4" borderId="1" applyAlignment="1" pivotButton="0" quotePrefix="0" xfId="0">
      <alignment horizontal="left" vertical="center" wrapText="1"/>
    </xf>
    <xf numFmtId="0" fontId="16" fillId="4" borderId="1" applyAlignment="1" pivotButton="0" quotePrefix="0" xfId="0">
      <alignment horizontal="center" vertical="center" wrapText="1"/>
    </xf>
    <xf numFmtId="0" fontId="0" fillId="11" borderId="1" applyAlignment="1" pivotButton="0" quotePrefix="0" xfId="0">
      <alignment horizontal="center" vertical="center" wrapText="1"/>
    </xf>
    <xf numFmtId="0" fontId="16" fillId="11" borderId="1" applyAlignment="1" pivotButton="0" quotePrefix="0" xfId="0">
      <alignment horizontal="center" vertical="center" wrapText="1"/>
    </xf>
    <xf numFmtId="0" fontId="24" fillId="8" borderId="1" applyAlignment="1" pivotButton="0" quotePrefix="0" xfId="0">
      <alignment horizontal="left" vertical="center" wrapText="1"/>
    </xf>
    <xf numFmtId="0" fontId="25" fillId="8" borderId="1" applyAlignment="1" pivotButton="0" quotePrefix="0" xfId="0">
      <alignment horizontal="center" vertical="center" wrapText="1"/>
    </xf>
    <xf numFmtId="0" fontId="26" fillId="10" borderId="1" applyAlignment="1" pivotButton="0" quotePrefix="0" xfId="0">
      <alignment horizontal="left" vertical="center" wrapText="1"/>
    </xf>
    <xf numFmtId="0" fontId="0" fillId="10" borderId="1" applyAlignment="1" pivotButton="0" quotePrefix="0" xfId="0">
      <alignment horizontal="center" vertical="center" wrapText="1"/>
    </xf>
    <xf numFmtId="0" fontId="19" fillId="9" borderId="1" applyAlignment="1" pivotButton="0" quotePrefix="0" xfId="0">
      <alignment horizontal="left" vertical="center" wrapText="1"/>
    </xf>
    <xf numFmtId="0" fontId="0" fillId="9" borderId="1" applyAlignment="1" pivotButton="0" quotePrefix="0" xfId="0">
      <alignment horizontal="center" vertical="center" wrapText="1"/>
    </xf>
    <xf numFmtId="0" fontId="27" fillId="5" borderId="1" applyAlignment="1" pivotButton="0" quotePrefix="0" xfId="0">
      <alignment horizontal="left" vertical="center" wrapText="1"/>
    </xf>
    <xf numFmtId="0" fontId="28" fillId="5" borderId="1" applyAlignment="1" pivotButton="0" quotePrefix="0" xfId="0">
      <alignment horizontal="center" vertical="center" wrapText="1"/>
    </xf>
    <xf numFmtId="0" fontId="29" fillId="6" borderId="1" applyAlignment="1" pivotButton="0" quotePrefix="0" xfId="0">
      <alignment horizontal="left" vertical="center" wrapText="1"/>
    </xf>
    <xf numFmtId="0" fontId="0" fillId="6" borderId="1" applyAlignment="1" pivotButton="0" quotePrefix="0" xfId="0">
      <alignment horizontal="center" vertical="center" wrapText="1"/>
    </xf>
    <xf numFmtId="0" fontId="30" fillId="6" borderId="1" applyAlignment="1" pivotButton="0" quotePrefix="0" xfId="0">
      <alignment horizontal="center" vertical="center" wrapText="1"/>
    </xf>
    <xf numFmtId="0" fontId="31" fillId="7" borderId="1" applyAlignment="1" pivotButton="0" quotePrefix="0" xfId="0">
      <alignment horizontal="left" vertical="center" wrapText="1"/>
    </xf>
    <xf numFmtId="0" fontId="0" fillId="7" borderId="1" applyAlignment="1" pivotButton="0" quotePrefix="0" xfId="0">
      <alignment horizontal="center" vertical="center" wrapText="1"/>
    </xf>
    <xf numFmtId="0" fontId="32" fillId="7" borderId="1" applyAlignment="1" pivotButton="0" quotePrefix="0" xfId="0">
      <alignment horizontal="center" vertical="center" wrapText="1"/>
    </xf>
    <xf numFmtId="0" fontId="33" fillId="12" borderId="1" applyAlignment="1" pivotButton="0" quotePrefix="0" xfId="0">
      <alignment horizontal="left" vertical="center" wrapText="1"/>
    </xf>
    <xf numFmtId="0" fontId="0" fillId="12" borderId="1" applyAlignment="1" pivotButton="0" quotePrefix="0" xfId="0">
      <alignment horizontal="center" vertical="center" wrapText="1"/>
    </xf>
    <xf numFmtId="0" fontId="20" fillId="12" borderId="1" applyAlignment="1" pivotButton="0" quotePrefix="0" xfId="0">
      <alignment horizontal="center" vertical="center" wrapText="1"/>
    </xf>
    <xf numFmtId="0" fontId="26" fillId="13" borderId="1" applyAlignment="1" pivotButton="0" quotePrefix="0" xfId="0">
      <alignment horizontal="left" vertical="center" wrapText="1"/>
    </xf>
    <xf numFmtId="0" fontId="0" fillId="13" borderId="1" applyAlignment="1" pivotButton="0" quotePrefix="0" xfId="0">
      <alignment horizontal="center" vertical="center" wrapText="1"/>
    </xf>
    <xf numFmtId="0" fontId="2" fillId="13" borderId="1" applyAlignment="1" pivotButton="0" quotePrefix="0" xfId="0">
      <alignment horizontal="center" vertical="center" wrapText="1"/>
    </xf>
    <xf numFmtId="0" fontId="22" fillId="8" borderId="1" applyAlignment="1" pivotButton="0" quotePrefix="0" xfId="0">
      <alignment horizontal="center" vertical="center" wrapText="1"/>
    </xf>
    <xf numFmtId="0" fontId="0" fillId="0" borderId="1" pivotButton="0" quotePrefix="0" xfId="0"/>
    <xf numFmtId="0" fontId="35" fillId="15" borderId="0" pivotButton="0" quotePrefix="0" xfId="0"/>
    <xf numFmtId="0" fontId="36" fillId="16" borderId="0" pivotButton="0" quotePrefix="0" xfId="0"/>
    <xf numFmtId="0" fontId="34" fillId="14" borderId="0" pivotButton="0" quotePrefix="0" xfId="0"/>
    <xf numFmtId="167" fontId="0" fillId="0" borderId="1" applyAlignment="1" pivotButton="0" quotePrefix="0" xfId="0">
      <alignment horizontal="left" vertical="center" wrapText="1"/>
    </xf>
    <xf numFmtId="4" fontId="0" fillId="0" borderId="1" applyAlignment="1" pivotButton="0" quotePrefix="0" xfId="0">
      <alignment horizontal="left" vertical="center" wrapText="1"/>
    </xf>
    <xf numFmtId="164" fontId="0" fillId="0" borderId="1" applyAlignment="1" pivotButton="0" quotePrefix="0" xfId="0">
      <alignment horizontal="center" vertical="center" wrapText="1"/>
    </xf>
    <xf numFmtId="4" fontId="0" fillId="0" borderId="1" applyAlignment="1" pivotButton="0" quotePrefix="0" xfId="0">
      <alignment horizontal="center" vertical="center" wrapText="1"/>
    </xf>
    <xf numFmtId="168" fontId="0" fillId="0" borderId="1" applyAlignment="1" pivotButton="0" quotePrefix="0" xfId="0">
      <alignment horizontal="center" vertical="center" wrapText="1"/>
    </xf>
    <xf numFmtId="168" fontId="36" fillId="0" borderId="1" applyAlignment="1" pivotButton="0" quotePrefix="0" xfId="0">
      <alignment horizontal="center" vertical="center" wrapText="1"/>
    </xf>
    <xf numFmtId="169" fontId="0" fillId="0" borderId="1" applyAlignment="1" pivotButton="0" quotePrefix="0" xfId="0">
      <alignment horizontal="center" vertical="center" wrapText="1"/>
    </xf>
    <xf numFmtId="170" fontId="0" fillId="0" borderId="1" applyAlignment="1" pivotButton="0" quotePrefix="0" xfId="0">
      <alignment horizontal="center" vertical="center" wrapText="1"/>
    </xf>
    <xf numFmtId="2" fontId="0" fillId="0" borderId="1" applyAlignment="1" pivotButton="0" quotePrefix="0" xfId="0">
      <alignment horizontal="center" vertical="center" wrapText="1"/>
    </xf>
    <xf numFmtId="3" fontId="34" fillId="0" borderId="1" applyAlignment="1" pivotButton="0" quotePrefix="0" xfId="0">
      <alignment horizontal="center" vertical="center" wrapText="1"/>
    </xf>
    <xf numFmtId="168" fontId="35" fillId="0" borderId="1" applyAlignment="1" pivotButton="0" quotePrefix="0" xfId="0">
      <alignment horizontal="center" vertical="center" wrapText="1"/>
    </xf>
    <xf numFmtId="168" fontId="34" fillId="0" borderId="1" applyAlignment="1" pivotButton="0" quotePrefix="0" xfId="0">
      <alignment horizontal="center" vertical="center" wrapText="1"/>
    </xf>
    <xf numFmtId="3" fontId="35" fillId="0" borderId="1" applyAlignment="1" pivotButton="0" quotePrefix="0" xfId="0">
      <alignment horizontal="center" vertical="center" wrapText="1"/>
    </xf>
    <xf numFmtId="168" fontId="0" fillId="0" borderId="0" pivotButton="0" quotePrefix="0" xfId="0"/>
    <xf numFmtId="168" fontId="35" fillId="0" borderId="0" pivotButton="0" quotePrefix="0" xfId="0"/>
    <xf numFmtId="169" fontId="0" fillId="0" borderId="0" pivotButton="0" quotePrefix="0" xfId="0"/>
    <xf numFmtId="170" fontId="0" fillId="0" borderId="0" pivotButton="0" quotePrefix="0" xfId="0"/>
    <xf numFmtId="2" fontId="0" fillId="0" borderId="0" pivotButton="0" quotePrefix="0" xfId="0"/>
    <xf numFmtId="3" fontId="34" fillId="0" borderId="0" pivotButton="0" quotePrefix="0" xfId="0"/>
    <xf numFmtId="168" fontId="36" fillId="0" borderId="0" pivotButton="0" quotePrefix="0" xfId="0"/>
    <xf numFmtId="3" fontId="0" fillId="0" borderId="0" pivotButton="0" quotePrefix="0" xfId="0"/>
    <xf numFmtId="3" fontId="0" fillId="0" borderId="1" applyAlignment="1" pivotButton="0" quotePrefix="0" xfId="0">
      <alignment horizontal="center" vertical="center" wrapText="1"/>
    </xf>
    <xf numFmtId="0" fontId="37" fillId="17" borderId="1" applyAlignment="1" pivotButton="0" quotePrefix="0" xfId="0">
      <alignment horizontal="left" vertical="center" wrapText="1"/>
    </xf>
    <xf numFmtId="0" fontId="16" fillId="17" borderId="1" applyAlignment="1" pivotButton="0" quotePrefix="0" xfId="0">
      <alignment horizontal="left" vertical="center" wrapText="1"/>
    </xf>
    <xf numFmtId="4" fontId="0" fillId="17" borderId="1" applyAlignment="1" pivotButton="0" quotePrefix="0" xfId="0">
      <alignment horizontal="center" vertical="center" wrapText="1"/>
    </xf>
    <xf numFmtId="167" fontId="35" fillId="17" borderId="1" applyAlignment="1" pivotButton="0" quotePrefix="0" xfId="0">
      <alignment horizontal="center" vertical="center" wrapText="1"/>
    </xf>
    <xf numFmtId="0" fontId="0" fillId="17" borderId="1" applyAlignment="1" pivotButton="0" quotePrefix="0" xfId="0">
      <alignment horizontal="center" vertical="center" wrapText="1"/>
    </xf>
    <xf numFmtId="3" fontId="0" fillId="17" borderId="1" applyAlignment="1" pivotButton="0" quotePrefix="0" xfId="0">
      <alignment horizontal="center" vertical="center" wrapText="1"/>
    </xf>
    <xf numFmtId="171" fontId="0" fillId="17" borderId="1" applyAlignment="1" pivotButton="0" quotePrefix="0" xfId="0">
      <alignment horizontal="center" vertical="center" wrapText="1"/>
    </xf>
    <xf numFmtId="0" fontId="34" fillId="17" borderId="1" applyAlignment="1" pivotButton="0" quotePrefix="0" xfId="0">
      <alignment horizontal="center" vertical="center" wrapText="1"/>
    </xf>
    <xf numFmtId="0" fontId="38" fillId="0" borderId="1" applyAlignment="1" pivotButton="0" quotePrefix="0" xfId="0">
      <alignment horizontal="left" vertical="center" wrapText="1"/>
    </xf>
    <xf numFmtId="2" fontId="40" fillId="19" borderId="1" applyAlignment="1" pivotButton="0" quotePrefix="0" xfId="0">
      <alignment horizontal="center" vertical="center" wrapText="1"/>
    </xf>
    <xf numFmtId="4" fontId="39" fillId="18" borderId="1" applyAlignment="1" pivotButton="0" quotePrefix="0" xfId="0">
      <alignment horizontal="center" vertical="center" wrapText="1"/>
    </xf>
    <xf numFmtId="0" fontId="40" fillId="19" borderId="1" applyAlignment="1" pivotButton="0" quotePrefix="0" xfId="0">
      <alignment horizontal="center" vertical="center" wrapText="1"/>
    </xf>
    <xf numFmtId="2" fontId="41" fillId="20" borderId="1" applyAlignment="1" pivotButton="0" quotePrefix="0" xfId="0">
      <alignment horizontal="center" vertical="center" wrapText="1"/>
    </xf>
    <xf numFmtId="0" fontId="38" fillId="0" borderId="0" pivotButton="0" quotePrefix="0" xfId="0"/>
    <xf numFmtId="2" fontId="40" fillId="19" borderId="0" pivotButton="0" quotePrefix="0" xfId="0"/>
    <xf numFmtId="0" fontId="39" fillId="18" borderId="0" pivotButton="0" quotePrefix="0" xfId="0"/>
    <xf numFmtId="0" fontId="40" fillId="19" borderId="0" pivotButton="0" quotePrefix="0" xfId="0"/>
    <xf numFmtId="2" fontId="41" fillId="20" borderId="0" pivotButton="0" quotePrefix="0" xfId="0"/>
    <xf numFmtId="0" fontId="37" fillId="17" borderId="0" applyAlignment="1" pivotButton="0" quotePrefix="0" xfId="0">
      <alignment horizontal="left" vertical="center" wrapText="1"/>
    </xf>
    <xf numFmtId="0" fontId="0" fillId="17" borderId="0" pivotButton="0" quotePrefix="0" xfId="0"/>
    <xf numFmtId="2" fontId="40" fillId="22" borderId="0" pivotButton="0" quotePrefix="0" xfId="0"/>
    <xf numFmtId="0" fontId="41" fillId="20" borderId="0" pivotButton="0" quotePrefix="0" xfId="0"/>
    <xf numFmtId="2" fontId="39" fillId="18" borderId="0" pivotButton="0" quotePrefix="0" xfId="0"/>
    <xf numFmtId="10" fontId="34" fillId="17" borderId="1" applyAlignment="1" pivotButton="0" quotePrefix="0" xfId="0">
      <alignment horizontal="center" vertical="center" wrapText="1"/>
    </xf>
    <xf numFmtId="10" fontId="0" fillId="17" borderId="1" applyAlignment="1" pivotButton="0" quotePrefix="0" xfId="0">
      <alignment horizontal="center" vertical="center" wrapText="1"/>
    </xf>
    <xf numFmtId="164" fontId="0" fillId="17" borderId="1" applyAlignment="1" pivotButton="0" quotePrefix="0" xfId="0">
      <alignment horizontal="center" vertical="center" wrapText="1"/>
    </xf>
    <xf numFmtId="165" fontId="0" fillId="17" borderId="1" applyAlignment="1" pivotButton="0" quotePrefix="0" xfId="0">
      <alignment horizontal="center" vertical="center" wrapText="1"/>
    </xf>
    <xf numFmtId="10" fontId="39" fillId="18" borderId="1" applyAlignment="1" pivotButton="0" quotePrefix="0" xfId="0">
      <alignment horizontal="center" vertical="center" wrapText="1"/>
    </xf>
    <xf numFmtId="165" fontId="40" fillId="19" borderId="1" applyAlignment="1" pivotButton="0" quotePrefix="0" xfId="0">
      <alignment horizontal="center" vertical="center" wrapText="1"/>
    </xf>
    <xf numFmtId="165" fontId="41" fillId="20" borderId="1" applyAlignment="1" pivotButton="0" quotePrefix="0" xfId="0">
      <alignment horizontal="center" vertical="center" wrapText="1"/>
    </xf>
    <xf numFmtId="0" fontId="0" fillId="33" borderId="0" pivotButton="0" quotePrefix="0" xfId="0"/>
    <xf numFmtId="0" fontId="45" fillId="26" borderId="0" applyAlignment="1" pivotButton="0" quotePrefix="0" xfId="0">
      <alignment horizontal="left" vertical="top" wrapText="1"/>
    </xf>
    <xf numFmtId="0" fontId="0" fillId="0" borderId="0" pivotButton="0" quotePrefix="0" xfId="0"/>
    <xf numFmtId="0" fontId="44" fillId="25" borderId="0" applyAlignment="1" pivotButton="0" quotePrefix="0" xfId="0">
      <alignment horizontal="left" vertical="center" wrapText="1"/>
    </xf>
    <xf numFmtId="0" fontId="43" fillId="24" borderId="0" applyAlignment="1" pivotButton="0" quotePrefix="0" xfId="0">
      <alignment horizontal="left" vertical="center" wrapText="1"/>
    </xf>
    <xf numFmtId="0" fontId="43" fillId="28" borderId="0" applyAlignment="1" pivotButton="0" quotePrefix="0" xfId="0">
      <alignment horizontal="left" vertical="center" wrapText="1"/>
    </xf>
    <xf numFmtId="0" fontId="43" fillId="27" borderId="0" applyAlignment="1" pivotButton="0" quotePrefix="0" xfId="0">
      <alignment horizontal="left" vertical="center" wrapText="1"/>
    </xf>
    <xf numFmtId="0" fontId="47" fillId="32" borderId="0" applyAlignment="1" pivotButton="0" quotePrefix="0" xfId="0">
      <alignment horizontal="left" vertical="top" wrapText="1"/>
    </xf>
    <xf numFmtId="0" fontId="37" fillId="31" borderId="0" applyAlignment="1" pivotButton="0" quotePrefix="0" xfId="0">
      <alignment horizontal="left" vertical="center" wrapText="1"/>
    </xf>
    <xf numFmtId="0" fontId="43" fillId="17" borderId="0" applyAlignment="1" pivotButton="0" quotePrefix="0" xfId="0">
      <alignment horizontal="center" vertical="center" wrapText="1"/>
    </xf>
    <xf numFmtId="0" fontId="43" fillId="30" borderId="0" applyAlignment="1" pivotButton="0" quotePrefix="0" xfId="0">
      <alignment horizontal="left" vertical="center" wrapText="1"/>
    </xf>
    <xf numFmtId="0" fontId="42" fillId="23" borderId="0" applyAlignment="1" pivotButton="0" quotePrefix="0" xfId="0">
      <alignment horizontal="center" vertical="center" wrapText="1"/>
    </xf>
    <xf numFmtId="0" fontId="46" fillId="29" borderId="0" applyAlignment="1" pivotButton="0" quotePrefix="0" xfId="0">
      <alignment horizontal="center" vertical="center" wrapText="1"/>
    </xf>
    <xf numFmtId="0" fontId="3" fillId="4" borderId="0" applyAlignment="1" pivotButton="0" quotePrefix="0" xfId="0">
      <alignment horizontal="center" vertical="center" wrapText="1"/>
    </xf>
    <xf numFmtId="0" fontId="6" fillId="5" borderId="1" applyAlignment="1" pivotButton="0" quotePrefix="0" xfId="0">
      <alignment horizontal="center" vertical="center" wrapText="1"/>
    </xf>
    <xf numFmtId="0" fontId="0" fillId="0" borderId="3" pivotButton="0" quotePrefix="0" xfId="0"/>
    <xf numFmtId="0" fontId="0" fillId="0" borderId="4" pivotButton="0" quotePrefix="0" xfId="0"/>
    <xf numFmtId="0" fontId="11" fillId="8" borderId="1" applyAlignment="1" pivotButton="0" quotePrefix="0" xfId="0">
      <alignment horizontal="right" vertical="center"/>
    </xf>
    <xf numFmtId="0" fontId="11" fillId="8"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10" fillId="2" borderId="0" applyAlignment="1" pivotButton="0" quotePrefix="0" xfId="0">
      <alignment horizontal="center" vertical="center" wrapText="1"/>
    </xf>
    <xf numFmtId="0" fontId="12" fillId="7" borderId="1" applyAlignment="1" pivotButton="0" quotePrefix="0" xfId="0">
      <alignment horizontal="right" vertical="center"/>
    </xf>
    <xf numFmtId="0" fontId="2" fillId="3" borderId="0" applyAlignment="1" pivotButton="0" quotePrefix="0" xfId="0">
      <alignment horizontal="right" vertical="center"/>
    </xf>
    <xf numFmtId="0" fontId="15" fillId="9" borderId="0" applyAlignment="1" pivotButton="0" quotePrefix="0" xfId="0">
      <alignment horizontal="left" vertical="center" wrapText="1"/>
    </xf>
    <xf numFmtId="0" fontId="0" fillId="0" borderId="1" applyAlignment="1" pivotButton="0" quotePrefix="0" xfId="0">
      <alignment horizontal="left" vertical="center" wrapText="1"/>
    </xf>
    <xf numFmtId="0" fontId="6" fillId="5" borderId="1" applyAlignment="1" pivotButton="0" quotePrefix="0" xfId="0">
      <alignment horizontal="left" vertical="center" wrapText="1"/>
    </xf>
    <xf numFmtId="0" fontId="12" fillId="7" borderId="1" applyAlignment="1" pivotButton="0" quotePrefix="0" xfId="0">
      <alignment horizontal="left" vertical="center" wrapText="1"/>
    </xf>
    <xf numFmtId="0" fontId="8" fillId="5" borderId="1" applyAlignment="1" pivotButton="0" quotePrefix="0" xfId="0">
      <alignment horizontal="center" vertical="center" wrapText="1"/>
    </xf>
    <xf numFmtId="0" fontId="14" fillId="6" borderId="1" applyAlignment="1" pivotButton="0" quotePrefix="0" xfId="0">
      <alignment horizontal="right" vertical="center"/>
    </xf>
    <xf numFmtId="0" fontId="7" fillId="6" borderId="1" applyAlignment="1" pivotButton="0" quotePrefix="0" xfId="0">
      <alignment horizontal="center" vertical="center" wrapText="1"/>
    </xf>
    <xf numFmtId="0" fontId="2" fillId="10" borderId="1" applyAlignment="1" pivotButton="0" quotePrefix="0" xfId="0">
      <alignment horizontal="center" vertical="center" wrapText="1"/>
    </xf>
    <xf numFmtId="0" fontId="11" fillId="4" borderId="1" applyAlignment="1" pivotButton="0" quotePrefix="0" xfId="0">
      <alignment horizontal="left" vertical="center" wrapText="1"/>
    </xf>
    <xf numFmtId="0" fontId="11" fillId="4" borderId="1" applyAlignment="1" pivotButton="0" quotePrefix="0" xfId="0">
      <alignment horizontal="right" vertical="center"/>
    </xf>
    <xf numFmtId="0" fontId="13" fillId="5" borderId="1" applyAlignment="1" pivotButton="0" quotePrefix="0" xfId="0">
      <alignment horizontal="right" vertical="center"/>
    </xf>
    <xf numFmtId="0" fontId="1" fillId="2" borderId="0" applyAlignment="1" pivotButton="0" quotePrefix="0" xfId="0">
      <alignment horizontal="center" vertical="center" wrapText="1"/>
    </xf>
    <xf numFmtId="0" fontId="5" fillId="6" borderId="1" applyAlignment="1" pivotButton="0" quotePrefix="0" xfId="0">
      <alignment horizontal="center" vertical="center" wrapText="1"/>
    </xf>
    <xf numFmtId="0" fontId="6" fillId="5" borderId="1" applyAlignment="1" pivotButton="0" quotePrefix="0" xfId="0">
      <alignment horizontal="right" vertical="center"/>
    </xf>
    <xf numFmtId="0" fontId="14" fillId="6" borderId="1" applyAlignment="1" pivotButton="0" quotePrefix="0" xfId="0">
      <alignment horizontal="left" vertical="center" wrapText="1"/>
    </xf>
    <xf numFmtId="0" fontId="13" fillId="5" borderId="1" applyAlignment="1" pivotButton="0" quotePrefix="0" xfId="0">
      <alignment horizontal="left" vertical="center" wrapText="1"/>
    </xf>
    <xf numFmtId="0" fontId="9" fillId="6" borderId="1" applyAlignment="1" pivotButton="0" quotePrefix="0" xfId="0">
      <alignment horizontal="center" vertical="center" wrapText="1"/>
    </xf>
    <xf numFmtId="0" fontId="18" fillId="10" borderId="0" applyAlignment="1" pivotButton="0" quotePrefix="0" xfId="0">
      <alignment horizontal="left" vertical="center" wrapText="1"/>
    </xf>
    <xf numFmtId="0" fontId="16" fillId="9" borderId="1" pivotButton="0" quotePrefix="0" xfId="0"/>
    <xf numFmtId="0" fontId="17" fillId="2" borderId="0" applyAlignment="1" pivotButton="0" quotePrefix="0" xfId="0">
      <alignment horizontal="center" vertical="center" wrapText="1"/>
    </xf>
    <xf numFmtId="0" fontId="19" fillId="8" borderId="1" applyAlignment="1" pivotButton="0" quotePrefix="0" xfId="0">
      <alignment horizontal="left" vertical="center" wrapText="1"/>
    </xf>
    <xf numFmtId="0" fontId="19" fillId="11" borderId="1" applyAlignment="1" pivotButton="0" quotePrefix="0" xfId="0">
      <alignment horizontal="left" vertical="center" wrapText="1"/>
    </xf>
    <xf numFmtId="0" fontId="21" fillId="8" borderId="0" pivotButton="0" quotePrefix="0" xfId="0"/>
    <xf numFmtId="0" fontId="20" fillId="0" borderId="0" pivotButton="0" quotePrefix="0" xfId="0"/>
    <xf numFmtId="0" fontId="18" fillId="2" borderId="0" applyAlignment="1" pivotButton="0" quotePrefix="0" xfId="0">
      <alignment horizontal="left" vertical="center" wrapText="1"/>
    </xf>
    <xf numFmtId="4" fontId="0" fillId="8" borderId="1" applyAlignment="1" pivotButton="0" quotePrefix="0" xfId="0">
      <alignment horizontal="center" vertical="center" wrapText="1"/>
    </xf>
    <xf numFmtId="10" fontId="0" fillId="8" borderId="1" applyAlignment="1" pivotButton="0" quotePrefix="0" xfId="0">
      <alignment horizontal="center" vertical="center" wrapText="1"/>
    </xf>
    <xf numFmtId="2" fontId="0" fillId="8" borderId="1" applyAlignment="1" pivotButton="0" quotePrefix="0" xfId="0">
      <alignment horizontal="center" vertical="center" wrapText="1"/>
    </xf>
    <xf numFmtId="168" fontId="0" fillId="0" borderId="0" applyAlignment="1" pivotButton="0" quotePrefix="0" xfId="0">
      <alignment horizontal="center" vertical="center"/>
    </xf>
    <xf numFmtId="0" fontId="0" fillId="0" borderId="0" applyAlignment="1" pivotButton="0" quotePrefix="0" xfId="0">
      <alignment horizontal="center" vertical="center"/>
    </xf>
    <xf numFmtId="0" fontId="0" fillId="17" borderId="0" applyAlignment="1" pivotButton="0" quotePrefix="0" xfId="0">
      <alignment horizontal="center" vertical="center"/>
    </xf>
    <xf numFmtId="0" fontId="16" fillId="17" borderId="1" applyAlignment="1" pivotButton="0" quotePrefix="0" xfId="0">
      <alignment horizontal="center" vertical="center" wrapText="1"/>
    </xf>
    <xf numFmtId="0" fontId="38" fillId="0" borderId="1" applyAlignment="1" pivotButton="0" quotePrefix="0" xfId="0">
      <alignment horizontal="center" vertical="center" wrapText="1"/>
    </xf>
    <xf numFmtId="0" fontId="39" fillId="18" borderId="1" applyAlignment="1" pivotButton="0" quotePrefix="0" xfId="0">
      <alignment horizontal="center" vertical="center" wrapText="1"/>
    </xf>
    <xf numFmtId="0" fontId="38" fillId="0" borderId="0" applyAlignment="1" pivotButton="0" quotePrefix="0" xfId="0">
      <alignment horizontal="center" vertical="center"/>
    </xf>
    <xf numFmtId="168" fontId="34" fillId="0" borderId="0" applyAlignment="1" pivotButton="0" quotePrefix="0" xfId="0">
      <alignment horizontal="center" vertical="center"/>
    </xf>
    <xf numFmtId="10" fontId="39" fillId="18" borderId="0" applyAlignment="1" pivotButton="0" quotePrefix="0" xfId="0">
      <alignment horizontal="center" vertical="center"/>
    </xf>
    <xf numFmtId="0" fontId="41" fillId="20" borderId="0" applyAlignment="1" pivotButton="0" quotePrefix="0" xfId="0">
      <alignment horizontal="center" vertical="center"/>
    </xf>
    <xf numFmtId="0" fontId="39" fillId="18" borderId="0" applyAlignment="1" pivotButton="0" quotePrefix="0" xfId="0">
      <alignment horizontal="center" vertical="center"/>
    </xf>
    <xf numFmtId="0" fontId="40" fillId="19" borderId="0" applyAlignment="1" pivotButton="0" quotePrefix="0" xfId="0">
      <alignment horizontal="center" vertical="center"/>
    </xf>
    <xf numFmtId="0" fontId="0" fillId="21" borderId="0" applyAlignment="1" pivotButton="0" quotePrefix="0" xfId="0">
      <alignment horizontal="center" vertical="center"/>
    </xf>
    <xf numFmtId="3" fontId="0" fillId="0" borderId="0" applyAlignment="1" pivotButton="0" quotePrefix="0" xfId="0">
      <alignment horizontal="center" vertical="center"/>
    </xf>
    <xf numFmtId="164" fontId="0" fillId="0" borderId="0" applyAlignment="1" pivotButton="0" quotePrefix="0" xfId="0">
      <alignment horizontal="center" vertical="center"/>
    </xf>
    <xf numFmtId="10" fontId="40" fillId="19" borderId="0" applyAlignment="1" pivotButton="0" quotePrefix="0" xfId="0">
      <alignment horizontal="center" vertical="center"/>
    </xf>
    <xf numFmtId="10" fontId="41" fillId="20" borderId="0" applyAlignment="1" pivotButton="0" quotePrefix="0" xfId="0">
      <alignment horizontal="center" vertical="center"/>
    </xf>
    <xf numFmtId="0" fontId="48" fillId="34" borderId="0" applyAlignment="1" pivotButton="0" quotePrefix="0" xfId="0">
      <alignment horizontal="center" vertical="center" wrapText="1"/>
    </xf>
    <xf numFmtId="0" fontId="49" fillId="35" borderId="0" applyAlignment="1" pivotButton="0" quotePrefix="0" xfId="0">
      <alignment horizontal="center" vertical="center" wrapText="1"/>
    </xf>
    <xf numFmtId="0" fontId="49" fillId="36" borderId="0" applyAlignment="1" pivotButton="0" quotePrefix="0" xfId="0">
      <alignment horizontal="left" vertical="center" wrapText="1"/>
    </xf>
    <xf numFmtId="0" fontId="50" fillId="37" borderId="0" applyAlignment="1" pivotButton="0" quotePrefix="0" xfId="0">
      <alignment horizontal="left" vertical="center" wrapText="1"/>
    </xf>
    <xf numFmtId="0" fontId="51" fillId="38" borderId="0" applyAlignment="1" pivotButton="0" quotePrefix="0" xfId="0">
      <alignment horizontal="left" vertical="top" wrapText="1"/>
    </xf>
    <xf numFmtId="0" fontId="0" fillId="35" borderId="0" pivotButton="0" quotePrefix="0" xfId="0"/>
    <xf numFmtId="0" fontId="49" fillId="39" borderId="0" applyAlignment="1" pivotButton="0" quotePrefix="0" xfId="0">
      <alignment horizontal="left" vertical="center" wrapText="1"/>
    </xf>
    <xf numFmtId="0" fontId="49" fillId="40" borderId="0" applyAlignment="1" pivotButton="0" quotePrefix="0" xfId="0">
      <alignment horizontal="left" vertical="center" wrapText="1"/>
    </xf>
    <xf numFmtId="0" fontId="52" fillId="41" borderId="0" applyAlignment="1" pivotButton="0" quotePrefix="0" xfId="0">
      <alignment horizontal="center" vertical="center" wrapText="1"/>
    </xf>
    <xf numFmtId="0" fontId="49" fillId="42" borderId="0" applyAlignment="1" pivotButton="0" quotePrefix="0" xfId="0">
      <alignment horizontal="left" vertical="center" wrapText="1"/>
    </xf>
    <xf numFmtId="0" fontId="53" fillId="43" borderId="0" applyAlignment="1" pivotButton="0" quotePrefix="0" xfId="0">
      <alignment horizontal="left" vertical="center" wrapText="1"/>
    </xf>
    <xf numFmtId="0" fontId="54" fillId="44" borderId="0" applyAlignment="1" pivotButton="0" quotePrefix="0" xfId="0">
      <alignment horizontal="left" vertical="top" wrapText="1"/>
    </xf>
    <xf numFmtId="0" fontId="0" fillId="45" borderId="0" pivotButton="0" quotePrefix="0" xfId="0"/>
  </cellXfs>
  <cellStyles count="1">
    <cellStyle name="Normal" xfId="0" builtinId="0"/>
  </cellStyles>
  <dxfs count="78">
    <dxf>
      <font>
        <name val="Arial"/>
        <charset val="1"/>
        <color rgb="FF9C6500"/>
        <sz val="10"/>
      </font>
      <fill>
        <patternFill>
          <bgColor rgb="FFFFEB9C"/>
        </patternFill>
      </fill>
    </dxf>
    <dxf>
      <font>
        <name val="Arial"/>
        <charset val="1"/>
        <color rgb="FF9C0006"/>
        <sz val="10"/>
      </font>
      <fill>
        <patternFill>
          <bgColor rgb="FFFFC7CE"/>
        </patternFill>
      </fill>
    </dxf>
    <dxf>
      <font>
        <name val="Arial"/>
        <charset val="1"/>
        <color rgb="FF375623"/>
        <sz val="10"/>
      </font>
      <fill>
        <patternFill>
          <bgColor rgb="FFC6EFCE"/>
        </patternFill>
      </fill>
    </dxf>
    <dxf>
      <font>
        <name val="Arial"/>
        <charset val="1"/>
        <color rgb="FF9C6500"/>
        <sz val="10"/>
      </font>
      <fill>
        <patternFill>
          <bgColor rgb="FFFFEB9C"/>
        </patternFill>
      </fill>
    </dxf>
    <dxf>
      <font>
        <name val="Arial"/>
        <charset val="1"/>
        <color rgb="FF9C0006"/>
        <sz val="10"/>
      </font>
      <fill>
        <patternFill>
          <bgColor rgb="FFFFC7CE"/>
        </patternFill>
      </fill>
    </dxf>
    <dxf>
      <font>
        <name val="Arial"/>
        <charset val="1"/>
        <color rgb="FF375623"/>
        <sz val="10"/>
      </font>
      <fill>
        <patternFill>
          <bgColor rgb="FFC6EFCE"/>
        </patternFill>
      </fill>
    </dxf>
    <dxf>
      <font>
        <name val="Arial"/>
        <charset val="1"/>
        <color rgb="FF9C0006"/>
        <sz val="10"/>
      </font>
      <fill>
        <patternFill>
          <bgColor rgb="FFFFC7CE"/>
        </patternFill>
      </fill>
    </dxf>
    <dxf>
      <font>
        <name val="Arial"/>
        <charset val="1"/>
        <color rgb="FF375623"/>
        <sz val="10"/>
      </font>
      <fill>
        <patternFill>
          <bgColor rgb="FFC6EFCE"/>
        </patternFill>
      </fill>
    </dxf>
    <dxf>
      <font>
        <name val="Arial"/>
        <charset val="1"/>
        <color rgb="FF9C0006"/>
        <sz val="10"/>
      </font>
      <fill>
        <patternFill>
          <bgColor rgb="FFFFC7CE"/>
        </patternFill>
      </fill>
    </dxf>
    <dxf>
      <font>
        <name val="Arial"/>
        <charset val="1"/>
        <color rgb="FF375623"/>
        <sz val="10"/>
      </font>
      <fill>
        <patternFill>
          <bgColor rgb="FFC6EFCE"/>
        </patternFill>
      </fill>
    </dxf>
    <dxf>
      <font>
        <name val="Arial"/>
        <charset val="1"/>
        <color rgb="FF9C0006"/>
        <sz val="10"/>
      </font>
      <fill>
        <patternFill>
          <bgColor rgb="FFFFC7CE"/>
        </patternFill>
      </fill>
    </dxf>
    <dxf>
      <font>
        <name val="Arial"/>
        <charset val="1"/>
        <color rgb="FF375623"/>
        <sz val="10"/>
      </font>
      <fill>
        <patternFill>
          <bgColor rgb="FFC6EFCE"/>
        </patternFill>
      </fill>
    </dxf>
    <dxf>
      <font>
        <name val="Arial"/>
        <charset val="1"/>
        <color rgb="FF9C6500"/>
        <sz val="10"/>
      </font>
      <fill>
        <patternFill>
          <bgColor rgb="FFFFEB9C"/>
        </patternFill>
      </fill>
    </dxf>
    <dxf>
      <font>
        <name val="Arial"/>
        <charset val="1"/>
        <color rgb="FF9C0006"/>
        <sz val="10"/>
      </font>
      <fill>
        <patternFill>
          <bgColor rgb="FFFFC7CE"/>
        </patternFill>
      </fill>
    </dxf>
    <dxf>
      <font>
        <name val="Arial"/>
        <charset val="1"/>
        <color rgb="FF375623"/>
        <sz val="10"/>
      </font>
      <fill>
        <patternFill>
          <bgColor rgb="FFC6EFCE"/>
        </patternFill>
      </fill>
    </dxf>
    <dxf>
      <fill>
        <patternFill>
          <bgColor rgb="FFF2F2F2"/>
        </patternFill>
      </fill>
    </dxf>
    <dxf>
      <font>
        <name val="Arial"/>
        <charset val="1"/>
        <color rgb="FF9C6500"/>
        <sz val="10"/>
      </font>
      <fill>
        <patternFill>
          <bgColor rgb="FFFFEB9C"/>
        </patternFill>
      </fill>
    </dxf>
    <dxf>
      <font>
        <name val="Arial"/>
        <charset val="1"/>
        <color rgb="FF833C00"/>
        <sz val="10"/>
      </font>
      <fill>
        <patternFill>
          <bgColor rgb="FFFCE4D6"/>
        </patternFill>
      </fill>
    </dxf>
    <dxf>
      <font>
        <name val="Arial"/>
        <charset val="1"/>
        <color rgb="FF9C6500"/>
        <sz val="10"/>
      </font>
      <fill>
        <patternFill>
          <bgColor rgb="FFFFEB9C"/>
        </patternFill>
      </fill>
    </dxf>
    <dxf>
      <font>
        <name val="Arial"/>
        <charset val="1"/>
        <color rgb="FF9C0006"/>
        <sz val="10"/>
      </font>
      <fill>
        <patternFill>
          <bgColor rgb="FFFFC7CE"/>
        </patternFill>
      </fill>
    </dxf>
    <dxf>
      <font>
        <name val="Arial"/>
        <charset val="1"/>
        <color rgb="FF9C0006"/>
        <sz val="10"/>
      </font>
      <fill>
        <patternFill>
          <bgColor rgb="FFFFC7CE"/>
        </patternFill>
      </fill>
    </dxf>
    <dxf>
      <font>
        <name val="Arial"/>
        <charset val="1"/>
        <color rgb="FF9C6500"/>
        <sz val="10"/>
      </font>
      <fill>
        <patternFill>
          <bgColor rgb="FFFFEB9C"/>
        </patternFill>
      </fill>
    </dxf>
    <dxf>
      <font>
        <name val="Arial"/>
        <charset val="1"/>
        <color rgb="FF375623"/>
        <sz val="10"/>
      </font>
      <fill>
        <patternFill>
          <bgColor rgb="FFC6EFCE"/>
        </patternFill>
      </fill>
    </dxf>
    <dxf>
      <font>
        <name val="Arial"/>
        <charset val="1"/>
        <color rgb="FF375623"/>
        <sz val="10"/>
      </font>
      <fill>
        <patternFill>
          <bgColor rgb="FFC6EFCE"/>
        </patternFill>
      </fill>
    </dxf>
    <dxf>
      <font>
        <name val="Arial"/>
        <charset val="1"/>
        <color rgb="FF375623"/>
        <sz val="10"/>
      </font>
      <fill>
        <patternFill>
          <bgColor rgb="FFC6EFCE"/>
        </patternFill>
      </fill>
    </dxf>
    <dxf>
      <font>
        <name val="Arial"/>
        <charset val="1"/>
        <color rgb="FF9C0006"/>
        <sz val="10"/>
      </font>
      <fill>
        <patternFill>
          <bgColor rgb="FFFFC7CE"/>
        </patternFill>
      </fill>
    </dxf>
    <dxf>
      <font>
        <name val="Arial"/>
        <charset val="1"/>
        <color rgb="FF9C6500"/>
        <sz val="10"/>
      </font>
      <fill>
        <patternFill>
          <bgColor rgb="FFFFEB9C"/>
        </patternFill>
      </fill>
    </dxf>
    <dxf>
      <font>
        <name val="Arial"/>
        <charset val="1"/>
        <color rgb="FF9C0006"/>
        <sz val="10"/>
      </font>
      <fill>
        <patternFill>
          <bgColor rgb="FFFFC7CE"/>
        </patternFill>
      </fill>
    </dxf>
    <dxf>
      <font>
        <name val="Arial"/>
        <charset val="1"/>
        <color rgb="FF375623"/>
        <sz val="10"/>
      </font>
      <fill>
        <patternFill>
          <bgColor rgb="FFC6EFCE"/>
        </patternFill>
      </fill>
    </dxf>
    <dxf>
      <font>
        <name val="Arial"/>
        <charset val="1"/>
        <color rgb="FF9C0006"/>
        <sz val="10"/>
      </font>
      <fill>
        <patternFill>
          <bgColor rgb="FFFFC7CE"/>
        </patternFill>
      </fill>
    </dxf>
    <dxf>
      <font>
        <name val="Arial"/>
        <charset val="1"/>
        <color rgb="FF375623"/>
        <sz val="10"/>
      </font>
      <fill>
        <patternFill>
          <bgColor rgb="FFC6EFCE"/>
        </patternFill>
      </fill>
    </dxf>
    <dxf>
      <font>
        <name val="Arial"/>
        <charset val="1"/>
        <b val="1"/>
        <color rgb="FF000000"/>
        <sz val="10"/>
      </font>
      <fill>
        <patternFill>
          <bgColor rgb="FFF2F2F2"/>
        </patternFill>
      </fill>
    </dxf>
    <dxf>
      <font>
        <name val="Arial"/>
        <charset val="1"/>
        <color rgb="FF9C6500"/>
        <sz val="10"/>
      </font>
      <fill>
        <patternFill>
          <bgColor rgb="FFFFEB9C"/>
        </patternFill>
      </fill>
    </dxf>
    <dxf>
      <font>
        <name val="Arial"/>
        <charset val="1"/>
        <color rgb="FF1F4E79"/>
        <sz val="10"/>
      </font>
      <fill>
        <patternFill>
          <bgColor rgb="FFBDD7EE"/>
        </patternFill>
      </fill>
    </dxf>
    <dxf>
      <font>
        <name val="Arial"/>
        <charset val="1"/>
        <color rgb="FF375623"/>
        <sz val="10"/>
      </font>
      <fill>
        <patternFill>
          <bgColor rgb="FFC6EFCE"/>
        </patternFill>
      </fill>
    </dxf>
    <dxf>
      <font>
        <name val="Arial"/>
        <charset val="1"/>
        <color rgb="FF9C0006"/>
        <sz val="10"/>
      </font>
      <fill>
        <patternFill>
          <bgColor rgb="FFFFC7CE"/>
        </patternFill>
      </fill>
    </dxf>
    <dxf>
      <font>
        <name val="Arial"/>
        <charset val="1"/>
        <color rgb="FF9C6500"/>
        <sz val="10"/>
      </font>
      <fill>
        <patternFill>
          <bgColor rgb="FFFFEB9C"/>
        </patternFill>
      </fill>
    </dxf>
    <dxf>
      <font>
        <name val="Arial"/>
        <charset val="1"/>
        <color rgb="FF375623"/>
        <sz val="10"/>
      </font>
      <fill>
        <patternFill>
          <bgColor rgb="FFC6EFCE"/>
        </patternFill>
      </fill>
    </dxf>
    <dxf>
      <font>
        <name val="Arial"/>
        <charset val="1"/>
        <color rgb="FF9C6500"/>
        <sz val="10"/>
      </font>
      <fill>
        <patternFill>
          <bgColor rgb="FFFFEB9C"/>
        </patternFill>
      </fill>
    </dxf>
    <dxf>
      <font>
        <name val="Arial"/>
        <charset val="1"/>
        <color rgb="FF9C0006"/>
        <sz val="10"/>
      </font>
      <fill>
        <patternFill>
          <bgColor rgb="FFFFC7CE"/>
        </patternFill>
      </fill>
    </dxf>
    <dxf>
      <font>
        <name val="Arial"/>
        <charset val="1"/>
        <color rgb="FF9C0006"/>
        <sz val="10"/>
      </font>
      <fill>
        <patternFill>
          <bgColor rgb="FFFFC7CE"/>
        </patternFill>
      </fill>
    </dxf>
    <dxf>
      <font>
        <name val="Arial"/>
        <charset val="1"/>
        <color rgb="FF9C6500"/>
        <sz val="10"/>
      </font>
      <fill>
        <patternFill>
          <bgColor rgb="FFFFEB9C"/>
        </patternFill>
      </fill>
    </dxf>
    <dxf>
      <font>
        <name val="Arial"/>
        <charset val="1"/>
        <color rgb="FF375623"/>
        <sz val="10"/>
      </font>
      <fill>
        <patternFill>
          <bgColor rgb="FFC6EFCE"/>
        </patternFill>
      </fill>
    </dxf>
    <dxf>
      <font>
        <name val="Arial"/>
        <charset val="1"/>
        <color rgb="FF375623"/>
        <sz val="10"/>
      </font>
      <fill>
        <patternFill>
          <bgColor rgb="FFC6EFCE"/>
        </patternFill>
      </fill>
    </dxf>
    <dxf>
      <font>
        <name val="Arial"/>
        <charset val="1"/>
        <color rgb="FF9C6500"/>
        <sz val="10"/>
      </font>
      <fill>
        <patternFill>
          <bgColor rgb="FFFFEB9C"/>
        </patternFill>
      </fill>
    </dxf>
    <dxf>
      <font>
        <name val="Arial"/>
        <charset val="1"/>
        <color rgb="FF9C0006"/>
        <sz val="10"/>
      </font>
      <fill>
        <patternFill>
          <bgColor rgb="FFFFC7CE"/>
        </patternFill>
      </fill>
    </dxf>
    <dxf>
      <font>
        <name val="Arial"/>
        <charset val="1"/>
        <color rgb="FF375623"/>
        <sz val="10"/>
      </font>
      <fill>
        <patternFill>
          <bgColor rgb="FFC6EFCE"/>
        </patternFill>
      </fill>
    </dxf>
    <dxf>
      <font>
        <name val="Arial"/>
        <charset val="1"/>
        <color rgb="FF9C6500"/>
        <sz val="10"/>
      </font>
      <fill>
        <patternFill>
          <bgColor rgb="FFFFEB9C"/>
        </patternFill>
      </fill>
    </dxf>
    <dxf>
      <font>
        <name val="Arial"/>
        <charset val="1"/>
        <color rgb="FF9C0006"/>
        <sz val="10"/>
      </font>
      <fill>
        <patternFill>
          <bgColor rgb="FFFFC7CE"/>
        </patternFill>
      </fill>
    </dxf>
    <dxf>
      <font>
        <name val="Arial"/>
        <charset val="1"/>
        <color rgb="FF375623"/>
        <sz val="10"/>
      </font>
      <fill>
        <patternFill>
          <bgColor rgb="FFC6EFCE"/>
        </patternFill>
      </fill>
    </dxf>
    <dxf>
      <font>
        <name val="Arial"/>
        <charset val="1"/>
        <color rgb="FF9C6500"/>
        <sz val="10"/>
      </font>
      <fill>
        <patternFill>
          <bgColor rgb="FFFFEB9C"/>
        </patternFill>
      </fill>
    </dxf>
    <dxf>
      <font>
        <name val="Arial"/>
        <charset val="1"/>
        <color rgb="FF9C0006"/>
        <sz val="10"/>
      </font>
      <fill>
        <patternFill>
          <bgColor rgb="FFFFC7CE"/>
        </patternFill>
      </fill>
    </dxf>
    <dxf>
      <font>
        <name val="Arial"/>
        <charset val="1"/>
        <color rgb="FF9C0006"/>
        <sz val="10"/>
      </font>
      <fill>
        <patternFill>
          <bgColor rgb="FFFFC7CE"/>
        </patternFill>
      </fill>
    </dxf>
    <dxf>
      <font>
        <name val="Arial"/>
        <charset val="1"/>
        <color rgb="FF9C6500"/>
        <sz val="10"/>
      </font>
      <fill>
        <patternFill>
          <bgColor rgb="FFFFEB9C"/>
        </patternFill>
      </fill>
    </dxf>
    <dxf>
      <font>
        <name val="Arial"/>
        <charset val="1"/>
        <color rgb="FF375623"/>
        <sz val="10"/>
      </font>
      <fill>
        <patternFill>
          <bgColor rgb="FFC6EFCE"/>
        </patternFill>
      </fill>
    </dxf>
    <dxf>
      <font>
        <name val="Arial"/>
        <charset val="1"/>
        <color rgb="FF375623"/>
        <sz val="10"/>
      </font>
      <fill>
        <patternFill>
          <bgColor rgb="FFC6EFCE"/>
        </patternFill>
      </fill>
    </dxf>
    <dxf>
      <font>
        <name val="Arial"/>
        <charset val="1"/>
        <color rgb="FF9C0006"/>
        <sz val="10"/>
      </font>
      <fill>
        <patternFill>
          <bgColor rgb="FFFFC7CE"/>
        </patternFill>
      </fill>
    </dxf>
    <dxf>
      <font>
        <name val="Arial"/>
        <charset val="1"/>
        <color rgb="FF375623"/>
        <sz val="10"/>
      </font>
      <fill>
        <patternFill>
          <bgColor rgb="FFE2EFDA"/>
        </patternFill>
      </fill>
    </dxf>
    <dxf>
      <font>
        <name val="Arial"/>
        <charset val="1"/>
        <color rgb="FF9C6500"/>
        <sz val="10"/>
      </font>
      <fill>
        <patternFill>
          <bgColor rgb="FFFFEB9C"/>
        </patternFill>
      </fill>
    </dxf>
    <dxf>
      <font>
        <name val="Arial"/>
        <charset val="1"/>
        <color rgb="FF375623"/>
        <sz val="10"/>
      </font>
      <fill>
        <patternFill>
          <bgColor rgb="FFC6EFCE"/>
        </patternFill>
      </fill>
    </dxf>
    <dxf>
      <font>
        <name val="Arial"/>
        <charset val="1"/>
        <color rgb="FF9C6500"/>
        <sz val="10"/>
      </font>
      <fill>
        <patternFill>
          <bgColor rgb="FFFFEB9C"/>
        </patternFill>
      </fill>
    </dxf>
    <dxf>
      <font>
        <name val="Arial"/>
        <charset val="1"/>
        <color rgb="FF9C0006"/>
        <sz val="10"/>
      </font>
      <fill>
        <patternFill>
          <bgColor rgb="FFFFC7CE"/>
        </patternFill>
      </fill>
    </dxf>
    <dxf>
      <font>
        <name val="Arial"/>
        <charset val="1"/>
        <color rgb="FF9C0006"/>
        <sz val="10"/>
      </font>
      <fill>
        <patternFill>
          <bgColor rgb="FFFFC7CE"/>
        </patternFill>
      </fill>
    </dxf>
    <dxf>
      <font>
        <name val="Arial"/>
        <charset val="1"/>
        <color rgb="FF9C6500"/>
        <sz val="10"/>
      </font>
      <fill>
        <patternFill>
          <bgColor rgb="FFFFEB9C"/>
        </patternFill>
      </fill>
    </dxf>
    <dxf>
      <font>
        <name val="Arial"/>
        <charset val="1"/>
        <color rgb="FF375623"/>
        <sz val="10"/>
      </font>
      <fill>
        <patternFill>
          <bgColor rgb="FFC6EFCE"/>
        </patternFill>
      </fill>
    </dxf>
    <dxf>
      <font>
        <name val="Arial"/>
        <charset val="1"/>
        <color rgb="FF375623"/>
        <sz val="10"/>
      </font>
      <fill>
        <patternFill>
          <bgColor rgb="FFC6EFCE"/>
        </patternFill>
      </fill>
    </dxf>
    <dxf>
      <font>
        <name val="Arial"/>
        <charset val="1"/>
        <color rgb="FF9C6500"/>
        <sz val="10"/>
      </font>
      <fill>
        <patternFill>
          <bgColor rgb="FFFFEB9C"/>
        </patternFill>
      </fill>
    </dxf>
    <dxf>
      <font>
        <name val="Arial"/>
        <charset val="1"/>
        <color rgb="FF9C0006"/>
        <sz val="10"/>
      </font>
      <fill>
        <patternFill>
          <bgColor rgb="FFFFC7CE"/>
        </patternFill>
      </fill>
    </dxf>
    <dxf>
      <font>
        <name val="Arial"/>
        <charset val="1"/>
        <color rgb="FF375623"/>
        <sz val="10"/>
      </font>
      <fill>
        <patternFill>
          <bgColor rgb="FFC6EFCE"/>
        </patternFill>
      </fill>
    </dxf>
    <dxf>
      <font>
        <name val="Arial"/>
        <charset val="1"/>
        <color rgb="FF9C6500"/>
        <sz val="10"/>
      </font>
      <fill>
        <patternFill>
          <bgColor rgb="FFFFEB9C"/>
        </patternFill>
      </fill>
    </dxf>
    <dxf>
      <font>
        <name val="Arial"/>
        <charset val="1"/>
        <color rgb="FF9C0006"/>
        <sz val="10"/>
      </font>
      <fill>
        <patternFill>
          <bgColor rgb="FFFFC7CE"/>
        </patternFill>
      </fill>
    </dxf>
    <dxf>
      <font>
        <name val="Arial"/>
        <charset val="1"/>
        <color rgb="FF9C0006"/>
        <sz val="10"/>
      </font>
      <fill>
        <patternFill>
          <bgColor rgb="FFFFC7CE"/>
        </patternFill>
      </fill>
    </dxf>
    <dxf>
      <font>
        <name val="Arial"/>
        <charset val="1"/>
        <color rgb="FF9C6500"/>
        <sz val="10"/>
      </font>
      <fill>
        <patternFill>
          <bgColor rgb="FFFFEB9C"/>
        </patternFill>
      </fill>
    </dxf>
    <dxf>
      <font>
        <name val="Arial"/>
        <charset val="1"/>
        <color rgb="FF375623"/>
        <sz val="10"/>
      </font>
      <fill>
        <patternFill>
          <bgColor rgb="FFC6EFCE"/>
        </patternFill>
      </fill>
    </dxf>
    <dxf>
      <font>
        <name val="Arial"/>
        <charset val="1"/>
        <color rgb="FF375623"/>
        <sz val="10"/>
      </font>
      <fill>
        <patternFill>
          <bgColor rgb="FFC6EFCE"/>
        </patternFill>
      </fill>
    </dxf>
    <dxf>
      <font>
        <name val="Arial"/>
        <charset val="1"/>
        <color rgb="FF9C6500"/>
        <sz val="10"/>
      </font>
      <fill>
        <patternFill>
          <bgColor rgb="FFFFEB9C"/>
        </patternFill>
      </fill>
    </dxf>
    <dxf>
      <font>
        <name val="Arial"/>
        <charset val="1"/>
        <color rgb="FF9C0006"/>
        <sz val="10"/>
      </font>
      <fill>
        <patternFill>
          <bgColor rgb="FFFFC7CE"/>
        </patternFill>
      </fill>
    </dxf>
    <dxf>
      <font>
        <name val="Arial"/>
        <charset val="1"/>
        <color rgb="FF375623"/>
        <sz val="1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8080"/>
      <rgbColor rgb="FFBFBFBF"/>
      <rgbColor rgb="FF808080"/>
      <rgbColor rgb="FF9999FF"/>
      <rgbColor rgb="FF993366"/>
      <rgbColor rgb="FFF2F2F2"/>
      <rgbColor rgb="FFE2EFDA"/>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9E1F2"/>
      <rgbColor rgb="FFC6EFCE"/>
      <rgbColor rgb="FFFFEB9C"/>
      <rgbColor rgb="FFD6DCE4"/>
      <rgbColor rgb="FFFCE4D6"/>
      <rgbColor rgb="FFCC99FF"/>
      <rgbColor rgb="FFFFC7CE"/>
      <rgbColor rgb="FF2E75B6"/>
      <rgbColor rgb="FF33CCCC"/>
      <rgbColor rgb="FF99CC00"/>
      <rgbColor rgb="FFFFCC00"/>
      <rgbColor rgb="FFFF9900"/>
      <rgbColor rgb="FFFF6600"/>
      <rgbColor rgb="FF595959"/>
      <rgbColor rgb="FF969696"/>
      <rgbColor rgb="FF1A3A5C"/>
      <rgbColor rgb="FF339966"/>
      <rgbColor rgb="FF003300"/>
      <rgbColor rgb="FF333300"/>
      <rgbColor rgb="FF833C00"/>
      <rgbColor rgb="FF993366"/>
      <rgbColor rgb="FF1F4E79"/>
      <rgbColor rgb="FF37562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F4E79"/>
    <outlinePr summaryBelow="1" summaryRight="1"/>
    <pageSetUpPr/>
  </sheetPr>
  <dimension ref="A1:P26"/>
  <sheetViews>
    <sheetView view="pageBreakPreview" zoomScale="60" zoomScaleNormal="100" workbookViewId="0">
      <pane ySplit="2" topLeftCell="A3" activePane="bottomLeft" state="frozen"/>
      <selection pane="bottomLeft" activeCell="D2" sqref="D2:F2"/>
    </sheetView>
  </sheetViews>
  <sheetFormatPr baseColWidth="8" defaultColWidth="8.6328125" defaultRowHeight="14.5"/>
  <cols>
    <col width="20" customWidth="1" style="113" min="1" max="1"/>
    <col width="10" customWidth="1" style="113" min="2" max="16"/>
  </cols>
  <sheetData>
    <row r="1" ht="39.75" customHeight="1" s="113">
      <c r="A1" s="147" t="inlineStr">
        <is>
          <t>📊 DASHBOARD — ANALIZĂ DE PIAȚĂ</t>
        </is>
      </c>
    </row>
    <row r="2" ht="15" customHeight="1" s="113">
      <c r="A2" s="135" t="inlineStr">
        <is>
          <t>Data actualizare:</t>
        </is>
      </c>
      <c r="D2" s="124" t="inlineStr">
        <is>
          <t>23.03.2026 03:29</t>
        </is>
      </c>
    </row>
    <row r="4" ht="18" customHeight="1" s="113">
      <c r="A4" s="132" t="inlineStr">
        <is>
          <t>TREND GENERAL</t>
        </is>
      </c>
      <c r="B4" s="126" t="n"/>
      <c r="C4" s="126" t="n"/>
      <c r="D4" s="127" t="n"/>
      <c r="E4" s="148" t="inlineStr">
        <is>
          <t>VOLATILITATE</t>
        </is>
      </c>
      <c r="F4" s="126" t="n"/>
      <c r="G4" s="126" t="n"/>
      <c r="H4" s="127" t="n"/>
      <c r="I4" s="132" t="inlineStr">
        <is>
          <t>VOLUM RELATIV</t>
        </is>
      </c>
      <c r="J4" s="126" t="n"/>
      <c r="K4" s="126" t="n"/>
      <c r="L4" s="127" t="n"/>
      <c r="M4" s="132" t="inlineStr">
        <is>
          <t>MOMENT INTRARE</t>
        </is>
      </c>
      <c r="N4" s="126" t="n"/>
      <c r="O4" s="126" t="n"/>
      <c r="P4" s="127" t="n"/>
    </row>
    <row r="5" ht="30" customHeight="1" s="113">
      <c r="A5" s="125" t="inlineStr">
        <is>
          <t>Bullish</t>
        </is>
      </c>
      <c r="B5" s="126" t="n"/>
      <c r="C5" s="126" t="n"/>
      <c r="D5" s="127" t="n"/>
      <c r="E5" s="142" t="inlineStr">
        <is>
          <t>Moderată</t>
        </is>
      </c>
      <c r="F5" s="126" t="n"/>
      <c r="G5" s="126" t="n"/>
      <c r="H5" s="127" t="n"/>
      <c r="I5" s="125" t="inlineStr">
        <is>
          <t>Crescut</t>
        </is>
      </c>
      <c r="J5" s="126" t="n"/>
      <c r="K5" s="126" t="n"/>
      <c r="L5" s="127" t="n"/>
      <c r="M5" s="125" t="inlineStr">
        <is>
          <t>Favorabil</t>
        </is>
      </c>
      <c r="N5" s="126" t="n"/>
      <c r="O5" s="126" t="n"/>
      <c r="P5" s="127" t="n"/>
    </row>
    <row r="6" ht="18" customHeight="1" s="113">
      <c r="A6" s="140" t="inlineStr">
        <is>
          <t>↑ față de săptămâna trecută</t>
        </is>
      </c>
      <c r="B6" s="126" t="n"/>
      <c r="C6" s="126" t="n"/>
      <c r="D6" s="127" t="n"/>
      <c r="E6" s="152" t="inlineStr">
        <is>
          <t>↑ față de săptămâna trecută</t>
        </is>
      </c>
      <c r="F6" s="126" t="n"/>
      <c r="G6" s="126" t="n"/>
      <c r="H6" s="127" t="n"/>
      <c r="I6" s="140" t="inlineStr">
        <is>
          <t>↑ față de săptămâna trecută</t>
        </is>
      </c>
      <c r="J6" s="126" t="n"/>
      <c r="K6" s="126" t="n"/>
      <c r="L6" s="127" t="n"/>
      <c r="M6" s="140" t="inlineStr">
        <is>
          <t>↑ față de săptămâna trecută</t>
        </is>
      </c>
      <c r="N6" s="126" t="n"/>
      <c r="O6" s="126" t="n"/>
      <c r="P6" s="127" t="n"/>
    </row>
    <row r="8" ht="19.5" customHeight="1" s="113">
      <c r="A8" s="133" t="inlineStr">
        <is>
          <t>🎯 SEMNAL PRINCIPAL DE TRADING</t>
        </is>
      </c>
    </row>
    <row r="9" ht="24" customHeight="1" s="113">
      <c r="A9" s="149" t="inlineStr">
        <is>
          <t>SEMNAL ACTIV</t>
        </is>
      </c>
      <c r="B9" s="126" t="n"/>
      <c r="C9" s="126" t="n"/>
      <c r="D9" s="126" t="n"/>
      <c r="E9" s="126" t="n"/>
      <c r="F9" s="127" t="n"/>
      <c r="G9" s="138" t="inlineStr">
        <is>
          <t>BUY</t>
        </is>
      </c>
      <c r="H9" s="126" t="n"/>
      <c r="I9" s="126" t="n"/>
      <c r="J9" s="126" t="n"/>
      <c r="K9" s="126" t="n"/>
      <c r="L9" s="126" t="n"/>
      <c r="M9" s="126" t="n"/>
      <c r="N9" s="126" t="n"/>
      <c r="O9" s="126" t="n"/>
      <c r="P9" s="127" t="n"/>
    </row>
    <row r="10" ht="24" customHeight="1" s="113">
      <c r="A10" s="145" t="inlineStr">
        <is>
          <t>Activ recomandat</t>
        </is>
      </c>
      <c r="B10" s="126" t="n"/>
      <c r="C10" s="126" t="n"/>
      <c r="D10" s="126" t="n"/>
      <c r="E10" s="126" t="n"/>
      <c r="F10" s="127" t="n"/>
      <c r="G10" s="144" t="inlineStr">
        <is>
          <t>S&amp;P 500 / SPY</t>
        </is>
      </c>
      <c r="H10" s="126" t="n"/>
      <c r="I10" s="126" t="n"/>
      <c r="J10" s="126" t="n"/>
      <c r="K10" s="126" t="n"/>
      <c r="L10" s="126" t="n"/>
      <c r="M10" s="126" t="n"/>
      <c r="N10" s="126" t="n"/>
      <c r="O10" s="126" t="n"/>
      <c r="P10" s="127" t="n"/>
    </row>
    <row r="11" ht="24" customHeight="1" s="113">
      <c r="A11" s="145" t="inlineStr">
        <is>
          <t>Entry Price</t>
        </is>
      </c>
      <c r="B11" s="126" t="n"/>
      <c r="C11" s="126" t="n"/>
      <c r="D11" s="126" t="n"/>
      <c r="E11" s="126" t="n"/>
      <c r="F11" s="127" t="n"/>
      <c r="G11" s="144" t="inlineStr">
        <is>
          <t>5,250</t>
        </is>
      </c>
      <c r="H11" s="126" t="n"/>
      <c r="I11" s="126" t="n"/>
      <c r="J11" s="126" t="n"/>
      <c r="K11" s="126" t="n"/>
      <c r="L11" s="126" t="n"/>
      <c r="M11" s="126" t="n"/>
      <c r="N11" s="126" t="n"/>
      <c r="O11" s="126" t="n"/>
      <c r="P11" s="127" t="n"/>
    </row>
    <row r="12" ht="24" customHeight="1" s="113">
      <c r="A12" s="134" t="inlineStr">
        <is>
          <t>Stop Loss (SL)</t>
        </is>
      </c>
      <c r="B12" s="126" t="n"/>
      <c r="C12" s="126" t="n"/>
      <c r="D12" s="126" t="n"/>
      <c r="E12" s="126" t="n"/>
      <c r="F12" s="127" t="n"/>
      <c r="G12" s="139" t="inlineStr">
        <is>
          <t>5,100</t>
        </is>
      </c>
      <c r="H12" s="126" t="n"/>
      <c r="I12" s="126" t="n"/>
      <c r="J12" s="126" t="n"/>
      <c r="K12" s="126" t="n"/>
      <c r="L12" s="126" t="n"/>
      <c r="M12" s="126" t="n"/>
      <c r="N12" s="126" t="n"/>
      <c r="O12" s="126" t="n"/>
      <c r="P12" s="127" t="n"/>
    </row>
    <row r="13" ht="24" customHeight="1" s="113">
      <c r="A13" s="146" t="inlineStr">
        <is>
          <t>Take Profit (TP)</t>
        </is>
      </c>
      <c r="B13" s="126" t="n"/>
      <c r="C13" s="126" t="n"/>
      <c r="D13" s="126" t="n"/>
      <c r="E13" s="126" t="n"/>
      <c r="F13" s="127" t="n"/>
      <c r="G13" s="151" t="inlineStr">
        <is>
          <t>5,500</t>
        </is>
      </c>
      <c r="H13" s="126" t="n"/>
      <c r="I13" s="126" t="n"/>
      <c r="J13" s="126" t="n"/>
      <c r="K13" s="126" t="n"/>
      <c r="L13" s="126" t="n"/>
      <c r="M13" s="126" t="n"/>
      <c r="N13" s="126" t="n"/>
      <c r="O13" s="126" t="n"/>
      <c r="P13" s="127" t="n"/>
    </row>
    <row r="14" ht="24" customHeight="1" s="113">
      <c r="A14" s="128" t="inlineStr">
        <is>
          <t>Risk/Reward Ratio</t>
        </is>
      </c>
      <c r="B14" s="126" t="n"/>
      <c r="C14" s="126" t="n"/>
      <c r="D14" s="126" t="n"/>
      <c r="E14" s="126" t="n"/>
      <c r="F14" s="127" t="n"/>
      <c r="G14" s="129">
        <f>IF(D13&lt;&gt;"",IF((D13-D11)&lt;&gt;0,(D13-D11)/(D11-D12),"N/A"),"N/A")</f>
        <v/>
      </c>
      <c r="H14" s="126" t="n"/>
      <c r="I14" s="126" t="n"/>
      <c r="J14" s="126" t="n"/>
      <c r="K14" s="126" t="n"/>
      <c r="L14" s="126" t="n"/>
      <c r="M14" s="126" t="n"/>
      <c r="N14" s="126" t="n"/>
      <c r="O14" s="126" t="n"/>
      <c r="P14" s="127" t="n"/>
    </row>
    <row r="15" ht="24" customHeight="1" s="113">
      <c r="A15" s="128" t="inlineStr">
        <is>
          <t>Confluențe aliniate</t>
        </is>
      </c>
      <c r="B15" s="126" t="n"/>
      <c r="C15" s="126" t="n"/>
      <c r="D15" s="126" t="n"/>
      <c r="E15" s="126" t="n"/>
      <c r="F15" s="127" t="n"/>
      <c r="G15" s="129" t="inlineStr">
        <is>
          <t>4/5</t>
        </is>
      </c>
      <c r="H15" s="126" t="n"/>
      <c r="I15" s="126" t="n"/>
      <c r="J15" s="126" t="n"/>
      <c r="K15" s="126" t="n"/>
      <c r="L15" s="126" t="n"/>
      <c r="M15" s="126" t="n"/>
      <c r="N15" s="126" t="n"/>
      <c r="O15" s="126" t="n"/>
      <c r="P15" s="127" t="n"/>
    </row>
    <row r="16" ht="24" customHeight="1" s="113">
      <c r="A16" s="128" t="inlineStr">
        <is>
          <t>Probabilitate (%)</t>
        </is>
      </c>
      <c r="B16" s="126" t="n"/>
      <c r="C16" s="126" t="n"/>
      <c r="D16" s="126" t="n"/>
      <c r="E16" s="126" t="n"/>
      <c r="F16" s="127" t="n"/>
      <c r="G16" s="129" t="inlineStr">
        <is>
          <t>68%</t>
        </is>
      </c>
      <c r="H16" s="126" t="n"/>
      <c r="I16" s="126" t="n"/>
      <c r="J16" s="126" t="n"/>
      <c r="K16" s="126" t="n"/>
      <c r="L16" s="126" t="n"/>
      <c r="M16" s="126" t="n"/>
      <c r="N16" s="126" t="n"/>
      <c r="O16" s="126" t="n"/>
      <c r="P16" s="127" t="n"/>
    </row>
    <row r="17" ht="24" customHeight="1" s="113">
      <c r="A17" s="141" t="inlineStr">
        <is>
          <t>Moment intrare</t>
        </is>
      </c>
      <c r="B17" s="126" t="n"/>
      <c r="C17" s="126" t="n"/>
      <c r="D17" s="126" t="n"/>
      <c r="E17" s="126" t="n"/>
      <c r="F17" s="127" t="n"/>
      <c r="G17" s="150" t="inlineStr">
        <is>
          <t>La confirmare MA50</t>
        </is>
      </c>
      <c r="H17" s="126" t="n"/>
      <c r="I17" s="126" t="n"/>
      <c r="J17" s="126" t="n"/>
      <c r="K17" s="126" t="n"/>
      <c r="L17" s="126" t="n"/>
      <c r="M17" s="126" t="n"/>
      <c r="N17" s="126" t="n"/>
      <c r="O17" s="126" t="n"/>
      <c r="P17" s="127" t="n"/>
    </row>
    <row r="19" ht="15" customHeight="1" s="113">
      <c r="A19" s="136" t="inlineStr">
        <is>
          <t>📈 REZUMAT INDICATORI — Date de referință (editabile)</t>
        </is>
      </c>
    </row>
    <row r="20" ht="15" customHeight="1" s="113">
      <c r="A20" s="143" t="inlineStr">
        <is>
          <t>Indicator</t>
        </is>
      </c>
      <c r="B20" s="143" t="inlineStr">
        <is>
          <t>Valoare</t>
        </is>
      </c>
      <c r="C20" s="126" t="n"/>
      <c r="D20" s="127" t="n"/>
    </row>
    <row r="21" ht="19.5" customHeight="1" s="113">
      <c r="A21" s="2" t="inlineStr">
        <is>
          <t>RSI(14)</t>
        </is>
      </c>
      <c r="B21" s="131" t="inlineStr">
        <is>
          <t>52.3</t>
        </is>
      </c>
      <c r="C21" s="126" t="n"/>
      <c r="D21" s="127" t="n"/>
      <c r="E21" s="130" t="inlineStr">
        <is>
          <t>Neutru</t>
        </is>
      </c>
      <c r="F21" s="126" t="n"/>
      <c r="G21" s="126" t="n"/>
      <c r="H21" s="127" t="n"/>
      <c r="I21" s="137" t="inlineStr">
        <is>
          <t>Zone neutra 50-70</t>
        </is>
      </c>
      <c r="J21" s="126" t="n"/>
      <c r="K21" s="126" t="n"/>
      <c r="L21" s="126" t="n"/>
      <c r="M21" s="126" t="n"/>
      <c r="N21" s="126" t="n"/>
      <c r="O21" s="126" t="n"/>
      <c r="P21" s="127" t="n"/>
    </row>
    <row r="22" ht="19.5" customHeight="1" s="113">
      <c r="A22" s="2" t="inlineStr">
        <is>
          <t>MACD</t>
        </is>
      </c>
      <c r="B22" s="131" t="inlineStr">
        <is>
          <t>Bullish Cross</t>
        </is>
      </c>
      <c r="C22" s="126" t="n"/>
      <c r="D22" s="127" t="n"/>
      <c r="E22" s="130" t="inlineStr">
        <is>
          <t>BUY</t>
        </is>
      </c>
      <c r="F22" s="126" t="n"/>
      <c r="G22" s="126" t="n"/>
      <c r="H22" s="127" t="n"/>
      <c r="I22" s="137" t="inlineStr">
        <is>
          <t>Signal line crossover pozitiv</t>
        </is>
      </c>
      <c r="J22" s="126" t="n"/>
      <c r="K22" s="126" t="n"/>
      <c r="L22" s="126" t="n"/>
      <c r="M22" s="126" t="n"/>
      <c r="N22" s="126" t="n"/>
      <c r="O22" s="126" t="n"/>
      <c r="P22" s="127" t="n"/>
    </row>
    <row r="23" ht="19.5" customHeight="1" s="113">
      <c r="A23" s="2" t="inlineStr">
        <is>
          <t>MA50 vs MA200</t>
        </is>
      </c>
      <c r="B23" s="131" t="inlineStr">
        <is>
          <t>Golden Cross</t>
        </is>
      </c>
      <c r="C23" s="126" t="n"/>
      <c r="D23" s="127" t="n"/>
      <c r="E23" s="130" t="inlineStr">
        <is>
          <t>BUY</t>
        </is>
      </c>
      <c r="F23" s="126" t="n"/>
      <c r="G23" s="126" t="n"/>
      <c r="H23" s="127" t="n"/>
      <c r="I23" s="137" t="inlineStr">
        <is>
          <t>MA50 deasupra MA200</t>
        </is>
      </c>
      <c r="J23" s="126" t="n"/>
      <c r="K23" s="126" t="n"/>
      <c r="L23" s="126" t="n"/>
      <c r="M23" s="126" t="n"/>
      <c r="N23" s="126" t="n"/>
      <c r="O23" s="126" t="n"/>
      <c r="P23" s="127" t="n"/>
    </row>
    <row r="24" ht="19.5" customHeight="1" s="113">
      <c r="A24" s="2" t="inlineStr">
        <is>
          <t>VIX</t>
        </is>
      </c>
      <c r="B24" s="131" t="inlineStr">
        <is>
          <t>18.5</t>
        </is>
      </c>
      <c r="C24" s="126" t="n"/>
      <c r="D24" s="127" t="n"/>
      <c r="E24" s="130" t="inlineStr">
        <is>
          <t>WAIT</t>
        </is>
      </c>
      <c r="F24" s="126" t="n"/>
      <c r="G24" s="126" t="n"/>
      <c r="H24" s="127" t="n"/>
      <c r="I24" s="137" t="inlineStr">
        <is>
          <t>Volatilitate moderata</t>
        </is>
      </c>
      <c r="J24" s="126" t="n"/>
      <c r="K24" s="126" t="n"/>
      <c r="L24" s="126" t="n"/>
      <c r="M24" s="126" t="n"/>
      <c r="N24" s="126" t="n"/>
      <c r="O24" s="126" t="n"/>
      <c r="P24" s="127" t="n"/>
    </row>
    <row r="25" ht="19.5" customHeight="1" s="113">
      <c r="A25" s="2" t="inlineStr">
        <is>
          <t>Fear &amp; Greed</t>
        </is>
      </c>
      <c r="B25" s="131" t="inlineStr">
        <is>
          <t>62 - Greed</t>
        </is>
      </c>
      <c r="C25" s="126" t="n"/>
      <c r="D25" s="127" t="n"/>
      <c r="E25" s="130" t="inlineStr">
        <is>
          <t>BUY</t>
        </is>
      </c>
      <c r="F25" s="126" t="n"/>
      <c r="G25" s="126" t="n"/>
      <c r="H25" s="127" t="n"/>
      <c r="I25" s="137" t="inlineStr">
        <is>
          <t>Sentiment favorabil</t>
        </is>
      </c>
      <c r="J25" s="126" t="n"/>
      <c r="K25" s="126" t="n"/>
      <c r="L25" s="126" t="n"/>
      <c r="M25" s="126" t="n"/>
      <c r="N25" s="126" t="n"/>
      <c r="O25" s="126" t="n"/>
      <c r="P25" s="127" t="n"/>
    </row>
    <row r="26" ht="19.5" customHeight="1" s="113">
      <c r="A26" s="2" t="inlineStr">
        <is>
          <t>Volume RVOL</t>
        </is>
      </c>
      <c r="B26" s="131" t="inlineStr">
        <is>
          <t>1.3x medie</t>
        </is>
      </c>
      <c r="C26" s="126" t="n"/>
      <c r="D26" s="127" t="n"/>
      <c r="E26" s="130" t="inlineStr">
        <is>
          <t>Pozitiv</t>
        </is>
      </c>
      <c r="F26" s="126" t="n"/>
      <c r="G26" s="126" t="n"/>
      <c r="H26" s="127" t="n"/>
      <c r="I26" s="137" t="inlineStr">
        <is>
          <t>Volum confirma trendul</t>
        </is>
      </c>
      <c r="J26" s="126" t="n"/>
      <c r="K26" s="126" t="n"/>
      <c r="L26" s="126" t="n"/>
      <c r="M26" s="126" t="n"/>
      <c r="N26" s="126" t="n"/>
      <c r="O26" s="126" t="n"/>
      <c r="P26" s="127" t="n"/>
    </row>
  </sheetData>
  <mergeCells count="57">
    <mergeCell ref="D2:F2"/>
    <mergeCell ref="A5:D5"/>
    <mergeCell ref="A16:F16"/>
    <mergeCell ref="G14:P14"/>
    <mergeCell ref="E26:H26"/>
    <mergeCell ref="B23:D23"/>
    <mergeCell ref="A4:D4"/>
    <mergeCell ref="A8:P8"/>
    <mergeCell ref="I4:L4"/>
    <mergeCell ref="A12:F12"/>
    <mergeCell ref="E25:H25"/>
    <mergeCell ref="G16:P16"/>
    <mergeCell ref="A2:C2"/>
    <mergeCell ref="A19:P19"/>
    <mergeCell ref="E22:H22"/>
    <mergeCell ref="I26:P26"/>
    <mergeCell ref="M4:P4"/>
    <mergeCell ref="A14:F14"/>
    <mergeCell ref="G9:P9"/>
    <mergeCell ref="I25:P25"/>
    <mergeCell ref="G12:P12"/>
    <mergeCell ref="I6:L6"/>
    <mergeCell ref="E21:H21"/>
    <mergeCell ref="A17:F17"/>
    <mergeCell ref="I22:P22"/>
    <mergeCell ref="E24:H24"/>
    <mergeCell ref="E5:H5"/>
    <mergeCell ref="B24:D24"/>
    <mergeCell ref="B20:D20"/>
    <mergeCell ref="M5:P5"/>
    <mergeCell ref="G11:P11"/>
    <mergeCell ref="E23:H23"/>
    <mergeCell ref="A10:F10"/>
    <mergeCell ref="A6:D6"/>
    <mergeCell ref="A13:F13"/>
    <mergeCell ref="I21:P21"/>
    <mergeCell ref="A1:P1"/>
    <mergeCell ref="E4:H4"/>
    <mergeCell ref="A9:F9"/>
    <mergeCell ref="G17:P17"/>
    <mergeCell ref="B26:D26"/>
    <mergeCell ref="E20:H20"/>
    <mergeCell ref="I24:P24"/>
    <mergeCell ref="N20:P20"/>
    <mergeCell ref="B25:D25"/>
    <mergeCell ref="A15:F15"/>
    <mergeCell ref="I23:P23"/>
    <mergeCell ref="G10:P10"/>
    <mergeCell ref="A11:F11"/>
    <mergeCell ref="G13:P13"/>
    <mergeCell ref="I20:M20"/>
    <mergeCell ref="B22:D22"/>
    <mergeCell ref="E6:H6"/>
    <mergeCell ref="M6:P6"/>
    <mergeCell ref="B21:D21"/>
    <mergeCell ref="G15:P15"/>
    <mergeCell ref="I5:L5"/>
  </mergeCells>
  <conditionalFormatting sqref="E21:E26">
    <cfRule type="cellIs" priority="2" operator="equal" dxfId="2">
      <formula>"BUY"</formula>
    </cfRule>
    <cfRule type="cellIs" priority="3" operator="equal" dxfId="1">
      <formula>"SELL"</formula>
    </cfRule>
    <cfRule type="cellIs" priority="4" operator="equal" dxfId="0">
      <formula>"WAIT"</formula>
    </cfRule>
    <cfRule type="cellIs" priority="5" operator="equal" dxfId="2">
      <formula>"Activ"</formula>
    </cfRule>
    <cfRule type="cellIs" priority="6" operator="equal" dxfId="2">
      <formula>"Pozitiv"</formula>
    </cfRule>
    <cfRule type="cellIs" priority="7" operator="equal" dxfId="0">
      <formula>"Executat"</formula>
    </cfRule>
    <cfRule type="cellIs" priority="8" operator="equal" dxfId="1">
      <formula>"Expirat"</formula>
    </cfRule>
    <cfRule type="cellIs" priority="9" operator="equal" dxfId="1">
      <formula>"Negativ"</formula>
    </cfRule>
    <cfRule type="cellIs" priority="10" operator="equal" dxfId="0">
      <formula>"Neutru"</formula>
    </cfRule>
  </conditionalFormatting>
  <pageMargins left="0.75" right="0.75" top="1" bottom="1" header="0.511811023622047" footer="0.511811023622047"/>
  <pageSetup orientation="portrait" paperSize="9" scale="50" horizontalDpi="300" verticalDpi="300"/>
</worksheet>
</file>

<file path=xl/worksheets/sheet2.xml><?xml version="1.0" encoding="utf-8"?>
<worksheet xmlns="http://schemas.openxmlformats.org/spreadsheetml/2006/main">
  <sheetPr>
    <tabColor rgb="FF1F4E79"/>
    <outlinePr summaryBelow="1" summaryRight="1"/>
    <pageSetUpPr/>
  </sheetPr>
  <dimension ref="A1:H20"/>
  <sheetViews>
    <sheetView view="pageBreakPreview" zoomScale="60" zoomScaleNormal="100" workbookViewId="0">
      <pane ySplit="2" topLeftCell="A3" activePane="bottomLeft" state="frozen"/>
      <selection pane="bottomLeft" activeCell="B9" sqref="B9:C9"/>
    </sheetView>
  </sheetViews>
  <sheetFormatPr baseColWidth="8" defaultColWidth="8.6328125" defaultRowHeight="14.5"/>
  <cols>
    <col width="28" customWidth="1" style="113" min="1" max="1"/>
    <col width="14" customWidth="1" style="113" min="2" max="2"/>
    <col width="12" customWidth="1" style="113" min="3" max="3"/>
    <col width="10" customWidth="1" style="113" min="4" max="4"/>
    <col width="42" customWidth="1" style="113" min="5" max="5"/>
    <col width="12" customWidth="1" style="113" min="6" max="8"/>
  </cols>
  <sheetData>
    <row r="1" ht="34.5" customHeight="1" s="113">
      <c r="A1" s="155" t="inlineStr">
        <is>
          <t>📋 REZUMAT EXECUTIV — MARKET OVERVIEW</t>
        </is>
      </c>
    </row>
    <row r="3" ht="15" customHeight="1" s="113">
      <c r="A3" s="154" t="inlineStr">
        <is>
          <t>Data ultimei actualizări:</t>
        </is>
      </c>
      <c r="B3" s="126" t="n"/>
      <c r="C3" s="127" t="n"/>
      <c r="D3" s="6" t="inlineStr">
        <is>
          <t>22.03.2026 23:52</t>
        </is>
      </c>
    </row>
    <row r="4" ht="15" customHeight="1" s="113">
      <c r="A4" s="154" t="inlineStr">
        <is>
          <t>Autor / Analist:</t>
        </is>
      </c>
      <c r="B4" s="126" t="n"/>
      <c r="C4" s="127" t="n"/>
      <c r="D4" s="7" t="inlineStr">
        <is>
          <t>[Completați]</t>
        </is>
      </c>
    </row>
    <row r="6" ht="15" customHeight="1" s="113">
      <c r="A6" s="153" t="inlineStr">
        <is>
          <t>📊 TENDINȚĂ GENERALĂ PIATĂ</t>
        </is>
      </c>
    </row>
    <row r="7" ht="15" customHeight="1" s="113">
      <c r="A7" s="143" t="inlineStr">
        <is>
          <t>Indicator</t>
        </is>
      </c>
      <c r="B7" s="143" t="inlineStr">
        <is>
          <t>Valoare</t>
        </is>
      </c>
      <c r="C7" s="127" t="n"/>
      <c r="D7" s="143" t="inlineStr">
        <is>
          <t>Observații</t>
        </is>
      </c>
    </row>
    <row r="8" ht="21.75" customHeight="1" s="113">
      <c r="A8" s="2" t="inlineStr">
        <is>
          <t>Tendință generală</t>
        </is>
      </c>
      <c r="B8" s="131" t="inlineStr">
        <is>
          <t>Bullish ↑</t>
        </is>
      </c>
      <c r="C8" s="127" t="n"/>
      <c r="D8" s="8" t="inlineStr">
        <is>
          <t>↑</t>
        </is>
      </c>
      <c r="E8" s="137" t="inlineStr">
        <is>
          <t>Trend major ascendent confirmat de MA50/MA200 Golden Cross</t>
        </is>
      </c>
      <c r="F8" s="126" t="n"/>
      <c r="G8" s="126" t="n"/>
      <c r="H8" s="127" t="n"/>
    </row>
    <row r="9" ht="21.75" customHeight="1" s="113">
      <c r="A9" s="2" t="inlineStr">
        <is>
          <t>Volatilitate</t>
        </is>
      </c>
      <c r="B9" s="131" t="inlineStr">
        <is>
          <t>Moderată</t>
        </is>
      </c>
      <c r="C9" s="127" t="n"/>
      <c r="D9" s="8" t="inlineStr">
        <is>
          <t>→</t>
        </is>
      </c>
      <c r="E9" s="137" t="inlineStr">
        <is>
          <t>VIX 18.5 — sub media istorica, piata relaxata</t>
        </is>
      </c>
      <c r="F9" s="126" t="n"/>
      <c r="G9" s="126" t="n"/>
      <c r="H9" s="127" t="n"/>
    </row>
    <row r="10" ht="21.75" customHeight="1" s="113">
      <c r="A10" s="2" t="inlineStr">
        <is>
          <t>Volum tranzacții</t>
        </is>
      </c>
      <c r="B10" s="131" t="inlineStr">
        <is>
          <t>Crescut</t>
        </is>
      </c>
      <c r="C10" s="127" t="n"/>
      <c r="D10" s="8" t="inlineStr">
        <is>
          <t>↑</t>
        </is>
      </c>
      <c r="E10" s="137" t="inlineStr">
        <is>
          <t>RVOL 1.3x — confirmare trend cu volum solid</t>
        </is>
      </c>
      <c r="F10" s="126" t="n"/>
      <c r="G10" s="126" t="n"/>
      <c r="H10" s="127" t="n"/>
    </row>
    <row r="11" ht="21.75" customHeight="1" s="113">
      <c r="A11" s="2" t="inlineStr">
        <is>
          <t>Sentiment piată</t>
        </is>
      </c>
      <c r="B11" s="131" t="inlineStr">
        <is>
          <t>Greed</t>
        </is>
      </c>
      <c r="C11" s="127" t="n"/>
      <c r="D11" s="8" t="inlineStr">
        <is>
          <t>↑</t>
        </is>
      </c>
      <c r="E11" s="137" t="inlineStr">
        <is>
          <t>Fear &amp; Greed Index 62 — optimism moderat</t>
        </is>
      </c>
      <c r="F11" s="126" t="n"/>
      <c r="G11" s="126" t="n"/>
      <c r="H11" s="127" t="n"/>
    </row>
    <row r="12" ht="21.75" customHeight="1" s="113">
      <c r="A12" s="2" t="inlineStr">
        <is>
          <t>Risc sistemic</t>
        </is>
      </c>
      <c r="B12" s="131" t="inlineStr">
        <is>
          <t>Moderat</t>
        </is>
      </c>
      <c r="C12" s="127" t="n"/>
      <c r="D12" s="8" t="inlineStr">
        <is>
          <t>→</t>
        </is>
      </c>
      <c r="E12" s="137" t="inlineStr">
        <is>
          <t>Inflatie si ratele dobanzilor principale riscuri</t>
        </is>
      </c>
      <c r="F12" s="126" t="n"/>
      <c r="G12" s="126" t="n"/>
      <c r="H12" s="127" t="n"/>
    </row>
    <row r="15" ht="15" customHeight="1" s="113">
      <c r="A15" s="153" t="inlineStr">
        <is>
          <t>💡 CONCLUZII &amp; RECOMANDĂRI</t>
        </is>
      </c>
    </row>
    <row r="16" ht="21.75" customHeight="1" s="113">
      <c r="A16" s="156" t="inlineStr">
        <is>
          <t>✅ Trendul macro rămâne bullish pe termen mediu — Golden Cross confirmat pe S&amp;P 500</t>
        </is>
      </c>
      <c r="B16" s="126" t="n"/>
      <c r="C16" s="126" t="n"/>
      <c r="D16" s="126" t="n"/>
      <c r="E16" s="126" t="n"/>
      <c r="F16" s="126" t="n"/>
      <c r="G16" s="126" t="n"/>
      <c r="H16" s="127" t="n"/>
    </row>
    <row r="17" ht="21.75" customHeight="1" s="113">
      <c r="A17" s="157" t="inlineStr">
        <is>
          <t>⚠️ Inflația persistentă limitează agresivitatea Fed — rate mai înalte pentru mai mult timp</t>
        </is>
      </c>
      <c r="B17" s="126" t="n"/>
      <c r="C17" s="126" t="n"/>
      <c r="D17" s="126" t="n"/>
      <c r="E17" s="126" t="n"/>
      <c r="F17" s="126" t="n"/>
      <c r="G17" s="126" t="n"/>
      <c r="H17" s="127" t="n"/>
    </row>
    <row r="18" ht="21.75" customHeight="1" s="113">
      <c r="A18" s="156" t="inlineStr">
        <is>
          <t>🎯 Oportunitate: Entry selectiv pe growth stocks (AI/Tech) la pullback-uri de 5-10%</t>
        </is>
      </c>
      <c r="B18" s="126" t="n"/>
      <c r="C18" s="126" t="n"/>
      <c r="D18" s="126" t="n"/>
      <c r="E18" s="126" t="n"/>
      <c r="F18" s="126" t="n"/>
      <c r="G18" s="126" t="n"/>
      <c r="H18" s="127" t="n"/>
    </row>
    <row r="19" ht="21.75" customHeight="1" s="113">
      <c r="A19" s="157" t="inlineStr">
        <is>
          <t>🛡️ Protecție: Menținere 5-10% Gold și cash ca hedge față de tail risks</t>
        </is>
      </c>
      <c r="B19" s="126" t="n"/>
      <c r="C19" s="126" t="n"/>
      <c r="D19" s="126" t="n"/>
      <c r="E19" s="126" t="n"/>
      <c r="F19" s="126" t="n"/>
      <c r="G19" s="126" t="n"/>
      <c r="H19" s="127" t="n"/>
    </row>
    <row r="20" ht="21.75" customHeight="1" s="113">
      <c r="A20" s="156" t="inlineStr">
        <is>
          <t>📅 Eveniment cheie: Fed Minutes (3 zile) și CPI (5 zile) — potențial catalizator</t>
        </is>
      </c>
      <c r="B20" s="126" t="n"/>
      <c r="C20" s="126" t="n"/>
      <c r="D20" s="126" t="n"/>
      <c r="E20" s="126" t="n"/>
      <c r="F20" s="126" t="n"/>
      <c r="G20" s="126" t="n"/>
      <c r="H20" s="127" t="n"/>
    </row>
  </sheetData>
  <mergeCells count="22">
    <mergeCell ref="A15:H15"/>
    <mergeCell ref="B7:C7"/>
    <mergeCell ref="E7:H7"/>
    <mergeCell ref="A3:C3"/>
    <mergeCell ref="A1:H1"/>
    <mergeCell ref="A6:H6"/>
    <mergeCell ref="B12:C12"/>
    <mergeCell ref="B11:C11"/>
    <mergeCell ref="A16:H16"/>
    <mergeCell ref="E12:H12"/>
    <mergeCell ref="A4:C4"/>
    <mergeCell ref="B8:C8"/>
    <mergeCell ref="A18:H18"/>
    <mergeCell ref="E8:H8"/>
    <mergeCell ref="B10:C10"/>
    <mergeCell ref="B9:C9"/>
    <mergeCell ref="E10:H10"/>
    <mergeCell ref="A17:H17"/>
    <mergeCell ref="E9:H9"/>
    <mergeCell ref="A20:H20"/>
    <mergeCell ref="A19:H19"/>
    <mergeCell ref="E11:H11"/>
  </mergeCells>
  <pageMargins left="0.75" right="0.75" top="1" bottom="1" header="0.511811023622047" footer="0.511811023622047"/>
  <pageSetup orientation="portrait" paperSize="9" scale="60" horizontalDpi="300" verticalDpi="300"/>
</worksheet>
</file>

<file path=xl/worksheets/sheet3.xml><?xml version="1.0" encoding="utf-8"?>
<worksheet xmlns="http://schemas.openxmlformats.org/spreadsheetml/2006/main">
  <sheetPr>
    <tabColor rgb="FF375623"/>
    <outlinePr summaryBelow="1" summaryRight="1"/>
    <pageSetUpPr/>
  </sheetPr>
  <dimension ref="A1:S27"/>
  <sheetViews>
    <sheetView view="pageBreakPreview" zoomScale="60" zoomScaleNormal="100" workbookViewId="0">
      <pane xSplit="1" ySplit="2" topLeftCell="B3" activePane="bottomRight" state="frozen"/>
      <selection pane="topRight" activeCell="B1" sqref="B1"/>
      <selection pane="bottomLeft" activeCell="A3" sqref="A3"/>
      <selection pane="bottomRight" activeCell="A11" sqref="A11:S11"/>
    </sheetView>
  </sheetViews>
  <sheetFormatPr baseColWidth="8" defaultColWidth="8.6328125" defaultRowHeight="14.5"/>
  <cols>
    <col width="12" customWidth="1" style="113" min="1" max="1"/>
    <col width="14" customWidth="1" style="113" min="2" max="2"/>
    <col width="8" customWidth="1" style="113" min="3" max="3"/>
    <col width="28" customWidth="1" style="113" min="4" max="4"/>
    <col width="8" customWidth="1" style="113" min="5" max="5"/>
    <col width="14" customWidth="1" style="113" min="6" max="8"/>
    <col width="10" customWidth="1" style="113" min="9" max="10"/>
    <col width="12" customWidth="1" style="113" min="11" max="13"/>
    <col width="8" customWidth="1" style="113" min="14" max="14"/>
    <col width="12" customWidth="1" style="113" min="15" max="15"/>
    <col width="10" customWidth="1" style="113" min="16" max="16"/>
    <col width="25" customWidth="1" style="113" min="17" max="17"/>
  </cols>
  <sheetData>
    <row r="1" ht="34.5" customHeight="1" s="113">
      <c r="A1" s="155" t="inlineStr">
        <is>
          <t>📈 SEMNALE DE INTRARE PE PIAȚĂ</t>
        </is>
      </c>
    </row>
    <row r="2" ht="23.25" customHeight="1" s="113">
      <c r="A2" s="143" t="inlineStr">
        <is>
          <t>Data</t>
        </is>
      </c>
      <c r="B2" s="143" t="inlineStr">
        <is>
          <t>Activ</t>
        </is>
      </c>
      <c r="C2" s="143" t="inlineStr">
        <is>
          <t>Semnal</t>
        </is>
      </c>
      <c r="D2" s="143" t="inlineStr">
        <is>
          <t>Condiție declanșare</t>
        </is>
      </c>
      <c r="E2" s="143" t="inlineStr">
        <is>
          <t>RSI(14)</t>
        </is>
      </c>
      <c r="F2" s="143" t="inlineStr">
        <is>
          <t>MACD Signal</t>
        </is>
      </c>
      <c r="G2" s="143" t="inlineStr">
        <is>
          <t>MA50 vs MA200</t>
        </is>
      </c>
      <c r="H2" s="143" t="inlineStr">
        <is>
          <t>Volum vs Medie</t>
        </is>
      </c>
      <c r="I2" s="143" t="inlineStr">
        <is>
          <t>Momentum 10z</t>
        </is>
      </c>
      <c r="J2" s="143" t="inlineStr">
        <is>
          <t>Confluențe</t>
        </is>
      </c>
      <c r="K2" s="143" t="inlineStr">
        <is>
          <t>Entry Price</t>
        </is>
      </c>
      <c r="L2" s="143" t="inlineStr">
        <is>
          <t>Stop Loss</t>
        </is>
      </c>
      <c r="M2" s="143" t="inlineStr">
        <is>
          <t>Take Profit</t>
        </is>
      </c>
      <c r="N2" s="143" t="inlineStr">
        <is>
          <t>RR Ratio</t>
        </is>
      </c>
      <c r="O2" s="143" t="inlineStr">
        <is>
          <t>Probabilitate (%)</t>
        </is>
      </c>
      <c r="P2" s="143" t="inlineStr">
        <is>
          <t>Status</t>
        </is>
      </c>
      <c r="Q2" s="143" t="inlineStr">
        <is>
          <t>Note</t>
        </is>
      </c>
    </row>
    <row r="3" ht="27.75" customHeight="1" s="113">
      <c r="A3" s="137" t="n"/>
      <c r="B3" s="137" t="n"/>
      <c r="C3" s="137" t="n"/>
      <c r="D3" s="137" t="n"/>
      <c r="E3" s="59" t="n"/>
      <c r="F3" s="137" t="n"/>
      <c r="G3" s="137" t="n"/>
      <c r="H3" s="137" t="n"/>
      <c r="I3" s="137" t="n"/>
      <c r="J3" s="137" t="n"/>
      <c r="K3" s="60" t="n"/>
      <c r="L3" s="60" t="n"/>
      <c r="M3" s="60" t="n"/>
      <c r="N3" s="61" t="n"/>
      <c r="O3" s="137" t="n"/>
      <c r="P3" s="137" t="n"/>
      <c r="Q3" s="137" t="n"/>
    </row>
    <row r="4" ht="15" customHeight="1" s="113">
      <c r="A4" s="137" t="n"/>
      <c r="B4" s="137" t="n"/>
      <c r="C4" s="137" t="n"/>
      <c r="D4" s="137" t="n"/>
      <c r="E4" s="59" t="n"/>
      <c r="F4" s="137" t="n"/>
      <c r="G4" s="137" t="n"/>
      <c r="H4" s="137" t="n"/>
      <c r="I4" s="137" t="n"/>
      <c r="J4" s="137" t="n"/>
      <c r="K4" s="60" t="n"/>
      <c r="L4" s="60" t="n"/>
      <c r="M4" s="60" t="n"/>
      <c r="N4" s="61" t="n"/>
      <c r="O4" s="137" t="n"/>
      <c r="P4" s="137" t="n"/>
      <c r="Q4" s="137" t="n"/>
    </row>
    <row r="5" ht="15" customHeight="1" s="113">
      <c r="A5" s="137" t="n"/>
      <c r="B5" s="137" t="n"/>
      <c r="C5" s="137" t="n"/>
      <c r="D5" s="137" t="n"/>
      <c r="E5" s="59" t="n"/>
      <c r="F5" s="137" t="n"/>
      <c r="G5" s="137" t="n"/>
      <c r="H5" s="137" t="n"/>
      <c r="I5" s="137" t="n"/>
      <c r="J5" s="137" t="n"/>
      <c r="K5" s="60" t="n"/>
      <c r="L5" s="60" t="n"/>
      <c r="M5" s="60" t="n"/>
      <c r="N5" s="61" t="n"/>
      <c r="O5" s="137" t="n"/>
      <c r="P5" s="137" t="n"/>
      <c r="Q5" s="137" t="n"/>
    </row>
    <row r="6" ht="15" customHeight="1" s="113">
      <c r="A6" s="137" t="n"/>
      <c r="B6" s="137" t="n"/>
      <c r="C6" s="137" t="n"/>
      <c r="D6" s="137" t="n"/>
      <c r="E6" s="59" t="n"/>
      <c r="F6" s="137" t="n"/>
      <c r="G6" s="137" t="n"/>
      <c r="H6" s="137" t="n"/>
      <c r="I6" s="137" t="n"/>
      <c r="J6" s="137" t="n"/>
      <c r="K6" s="60" t="n"/>
      <c r="L6" s="60" t="n"/>
      <c r="M6" s="60" t="n"/>
      <c r="N6" s="61" t="n"/>
      <c r="O6" s="137" t="n"/>
      <c r="P6" s="137" t="n"/>
      <c r="Q6" s="137" t="n"/>
    </row>
    <row r="7" ht="15" customHeight="1" s="113">
      <c r="A7" s="137" t="n"/>
      <c r="B7" s="137" t="n"/>
      <c r="C7" s="137" t="n"/>
      <c r="D7" s="137" t="n"/>
      <c r="E7" s="59" t="n"/>
      <c r="F7" s="137" t="n"/>
      <c r="G7" s="137" t="n"/>
      <c r="H7" s="137" t="n"/>
      <c r="I7" s="137" t="n"/>
      <c r="J7" s="137" t="n"/>
      <c r="K7" s="60" t="n"/>
      <c r="L7" s="60" t="n"/>
      <c r="M7" s="60" t="n"/>
      <c r="N7" s="61" t="n"/>
      <c r="O7" s="137" t="n"/>
      <c r="P7" s="137" t="n"/>
      <c r="Q7" s="137" t="n"/>
    </row>
    <row r="10" ht="15" customHeight="1" s="113">
      <c r="A10" s="159" t="n"/>
    </row>
    <row r="11" ht="15" customHeight="1" s="113">
      <c r="A11" s="158" t="inlineStr">
        <is>
          <t>BUY → RSI &lt; 40 + MACD Bullish Cross + MA50 &gt; MA200 (Golden Cross) + Volum Crescut | SELL → RSI &gt; 70 + MACD Bearish + Death Cross + Volum Scăzut | WAIT → confluențe &lt; 3 sau semnale mixte</t>
        </is>
      </c>
    </row>
    <row r="12">
      <c r="A12" t="inlineStr">
        <is>
          <t>23.03.2026</t>
        </is>
      </c>
      <c r="B12" t="inlineStr">
        <is>
          <t>S&amp;P 500</t>
        </is>
      </c>
      <c r="C12" s="56" t="inlineStr">
        <is>
          <t>BUY</t>
        </is>
      </c>
      <c r="D12" t="inlineStr">
        <is>
          <t>RSI=25&lt;40 + Negativ + RVOL=1.2x</t>
        </is>
      </c>
      <c r="E12" t="n">
        <v>25.34</v>
      </c>
      <c r="F12" t="inlineStr">
        <is>
          <t>Negativ</t>
        </is>
      </c>
      <c r="G12" t="inlineStr">
        <is>
          <t>Golden Cross</t>
        </is>
      </c>
      <c r="H12" t="inlineStr">
        <is>
          <t>Crescut</t>
        </is>
      </c>
      <c r="I12" t="n">
        <v>-3.46</v>
      </c>
      <c r="J12" t="n">
        <v>3</v>
      </c>
      <c r="K12" t="n">
        <v>6506.48</v>
      </c>
      <c r="L12" t="n">
        <v>6349.7064</v>
      </c>
      <c r="M12" t="n">
        <v>6820.0271</v>
      </c>
      <c r="N12">
        <f>IFERROR((M12-K12)/(K12-L12),"N/A")</f>
        <v/>
      </c>
      <c r="O12" t="n">
        <v>76</v>
      </c>
      <c r="P12" t="inlineStr">
        <is>
          <t>Activ</t>
        </is>
      </c>
      <c r="Q12" t="inlineStr">
        <is>
          <t>Auto-generat 02:10</t>
        </is>
      </c>
    </row>
    <row r="13">
      <c r="A13" t="inlineStr">
        <is>
          <t>23.03.2026</t>
        </is>
      </c>
      <c r="B13" t="inlineStr">
        <is>
          <t>NASDAQ</t>
        </is>
      </c>
      <c r="C13" s="56" t="inlineStr">
        <is>
          <t>BUY</t>
        </is>
      </c>
      <c r="D13" t="inlineStr">
        <is>
          <t>RSI=32&lt;40 + Negativ + RVOL=1.2x</t>
        </is>
      </c>
      <c r="E13" t="n">
        <v>32.17</v>
      </c>
      <c r="F13" t="inlineStr">
        <is>
          <t>Negativ</t>
        </is>
      </c>
      <c r="G13" t="inlineStr">
        <is>
          <t>Golden Cross</t>
        </is>
      </c>
      <c r="H13" t="inlineStr">
        <is>
          <t>Normal</t>
        </is>
      </c>
      <c r="I13" t="n">
        <v>-3.31</v>
      </c>
      <c r="J13" t="n">
        <v>2</v>
      </c>
      <c r="K13" t="n">
        <v>21647.6113</v>
      </c>
      <c r="L13" t="n">
        <v>21028.5408</v>
      </c>
      <c r="M13" t="n">
        <v>22885.7524</v>
      </c>
      <c r="N13">
        <f>IFERROR((M13-K13)/(K13-L13),"N/A")</f>
        <v/>
      </c>
      <c r="O13" t="n">
        <v>64</v>
      </c>
      <c r="P13" t="inlineStr">
        <is>
          <t>Activ</t>
        </is>
      </c>
      <c r="Q13" t="inlineStr">
        <is>
          <t>Auto-generat 02:10</t>
        </is>
      </c>
    </row>
    <row r="14">
      <c r="A14" t="inlineStr">
        <is>
          <t>23.03.2026</t>
        </is>
      </c>
      <c r="B14" t="inlineStr">
        <is>
          <t>EUR/USD</t>
        </is>
      </c>
      <c r="C14" s="57" t="inlineStr">
        <is>
          <t>WAIT</t>
        </is>
      </c>
      <c r="D14" t="inlineStr">
        <is>
          <t>Confluențe insuficiente (1/4)</t>
        </is>
      </c>
      <c r="E14" t="n">
        <v>41.74</v>
      </c>
      <c r="F14" t="inlineStr">
        <is>
          <t>Negativ</t>
        </is>
      </c>
      <c r="G14" t="inlineStr">
        <is>
          <t>Golden Cross</t>
        </is>
      </c>
      <c r="H14" t="inlineStr">
        <is>
          <t>Normal</t>
        </is>
      </c>
      <c r="I14" t="n">
        <v>0.36</v>
      </c>
      <c r="J14" t="n">
        <v>1</v>
      </c>
      <c r="K14" t="n">
        <v>1.1565</v>
      </c>
      <c r="L14" t="n">
        <v>1.1373</v>
      </c>
      <c r="M14" t="n">
        <v>1.1757</v>
      </c>
      <c r="N14">
        <f>IFERROR((M14-K14)/(K14-L14),"N/A")</f>
        <v/>
      </c>
      <c r="O14" t="n">
        <v>52</v>
      </c>
      <c r="P14" t="inlineStr">
        <is>
          <t>Activ</t>
        </is>
      </c>
      <c r="Q14" t="inlineStr">
        <is>
          <t>Auto-generat 02:10</t>
        </is>
      </c>
    </row>
    <row r="15">
      <c r="A15" t="inlineStr">
        <is>
          <t>23.03.2026</t>
        </is>
      </c>
      <c r="B15" t="inlineStr">
        <is>
          <t>Gold</t>
        </is>
      </c>
      <c r="C15" s="56" t="inlineStr">
        <is>
          <t>BUY</t>
        </is>
      </c>
      <c r="D15" t="inlineStr">
        <is>
          <t>RSI=21&lt;40 + Negativ + RVOL=4.3x</t>
        </is>
      </c>
      <c r="E15" t="n">
        <v>21.43</v>
      </c>
      <c r="F15" t="inlineStr">
        <is>
          <t>Negativ</t>
        </is>
      </c>
      <c r="G15" t="inlineStr">
        <is>
          <t>Golden Cross</t>
        </is>
      </c>
      <c r="H15" t="inlineStr">
        <is>
          <t>Crescut</t>
        </is>
      </c>
      <c r="I15" t="n">
        <v>-12.19</v>
      </c>
      <c r="J15" t="n">
        <v>3</v>
      </c>
      <c r="K15" t="n">
        <v>4470.6001</v>
      </c>
      <c r="L15" t="n">
        <v>4304.6572</v>
      </c>
      <c r="M15" t="n">
        <v>4802.4859</v>
      </c>
      <c r="N15">
        <f>IFERROR((M15-K15)/(K15-L15),"N/A")</f>
        <v/>
      </c>
      <c r="O15" t="n">
        <v>76</v>
      </c>
      <c r="P15" t="inlineStr">
        <is>
          <t>Activ</t>
        </is>
      </c>
      <c r="Q15" t="inlineStr">
        <is>
          <t>Auto-generat 02:10</t>
        </is>
      </c>
    </row>
    <row r="16">
      <c r="A16" t="inlineStr">
        <is>
          <t>23.03.2026</t>
        </is>
      </c>
      <c r="B16" t="inlineStr">
        <is>
          <t>Oil WTI</t>
        </is>
      </c>
      <c r="C16" s="57" t="inlineStr">
        <is>
          <t>WAIT</t>
        </is>
      </c>
      <c r="D16" t="inlineStr">
        <is>
          <t>Confluențe insuficiente (1/4)</t>
        </is>
      </c>
      <c r="E16" t="n">
        <v>70.93000000000001</v>
      </c>
      <c r="F16" t="inlineStr">
        <is>
          <t>Pozitiv</t>
        </is>
      </c>
      <c r="G16" t="inlineStr">
        <is>
          <t>Golden Cross</t>
        </is>
      </c>
      <c r="H16" t="inlineStr">
        <is>
          <t>Scăzut</t>
        </is>
      </c>
      <c r="I16" t="n">
        <v>4.07</v>
      </c>
      <c r="J16" t="n">
        <v>1</v>
      </c>
      <c r="K16" t="n">
        <v>98.63</v>
      </c>
      <c r="L16" t="n">
        <v>77.3058</v>
      </c>
      <c r="M16" t="n">
        <v>119.9542</v>
      </c>
      <c r="N16">
        <f>IFERROR((M16-K16)/(K16-L16),"N/A")</f>
        <v/>
      </c>
      <c r="O16" t="n">
        <v>52</v>
      </c>
      <c r="P16" t="inlineStr">
        <is>
          <t>Activ</t>
        </is>
      </c>
      <c r="Q16" t="inlineStr">
        <is>
          <t>Auto-generat 02:10</t>
        </is>
      </c>
    </row>
    <row r="17">
      <c r="A17" t="inlineStr">
        <is>
          <t>23.03.2026</t>
        </is>
      </c>
      <c r="B17" t="inlineStr">
        <is>
          <t>BTC/USD</t>
        </is>
      </c>
      <c r="C17" s="58" t="inlineStr">
        <is>
          <t>SELL</t>
        </is>
      </c>
      <c r="D17" t="inlineStr">
        <is>
          <t>RSI=56&gt;70 + Bearish Cross + RVOL=0.9x</t>
        </is>
      </c>
      <c r="E17" t="n">
        <v>55.73</v>
      </c>
      <c r="F17" t="inlineStr">
        <is>
          <t>Bearish Cross</t>
        </is>
      </c>
      <c r="G17" t="inlineStr">
        <is>
          <t>Death Cross</t>
        </is>
      </c>
      <c r="H17" t="inlineStr">
        <is>
          <t>Normal</t>
        </is>
      </c>
      <c r="I17" t="n">
        <v>-3.65</v>
      </c>
      <c r="J17" t="n">
        <v>2</v>
      </c>
      <c r="K17" t="n">
        <v>67923.80469999999</v>
      </c>
      <c r="L17" t="n">
        <v>71797.9547</v>
      </c>
      <c r="M17" t="n">
        <v>60175.5046</v>
      </c>
      <c r="N17">
        <f>IFERROR((M17-K17)/(K17-L17),"N/A")</f>
        <v/>
      </c>
      <c r="O17" t="n">
        <v>64</v>
      </c>
      <c r="P17" t="inlineStr">
        <is>
          <t>Activ</t>
        </is>
      </c>
      <c r="Q17" t="inlineStr">
        <is>
          <t>Auto-generat 02:10</t>
        </is>
      </c>
    </row>
    <row r="18">
      <c r="A18" t="inlineStr">
        <is>
          <t>23.03.2026</t>
        </is>
      </c>
      <c r="B18" t="inlineStr">
        <is>
          <t>NVDA</t>
        </is>
      </c>
      <c r="C18" s="56" t="inlineStr">
        <is>
          <t>BUY</t>
        </is>
      </c>
      <c r="D18" t="inlineStr">
        <is>
          <t>RSI=38&lt;40 + Negativ + RVOL=1.2x</t>
        </is>
      </c>
      <c r="E18" t="n">
        <v>37.61</v>
      </c>
      <c r="F18" t="inlineStr">
        <is>
          <t>Negativ</t>
        </is>
      </c>
      <c r="G18" t="inlineStr">
        <is>
          <t>Golden Cross</t>
        </is>
      </c>
      <c r="H18" t="inlineStr">
        <is>
          <t>Crescut</t>
        </is>
      </c>
      <c r="I18" t="n">
        <v>-2.74</v>
      </c>
      <c r="J18" t="n">
        <v>3</v>
      </c>
      <c r="K18" t="n">
        <v>172.93</v>
      </c>
      <c r="L18" t="n">
        <v>164.88</v>
      </c>
      <c r="M18" t="n">
        <v>189.0301</v>
      </c>
      <c r="N18">
        <f>IFERROR((M18-K18)/(K18-L18),"N/A")</f>
        <v/>
      </c>
      <c r="O18" t="n">
        <v>76</v>
      </c>
      <c r="P18" t="inlineStr">
        <is>
          <t>Activ</t>
        </is>
      </c>
      <c r="Q18" t="inlineStr">
        <is>
          <t>Auto-generat 02:10</t>
        </is>
      </c>
    </row>
    <row r="19">
      <c r="A19" t="inlineStr">
        <is>
          <t>23.03.2026</t>
        </is>
      </c>
      <c r="B19" t="inlineStr">
        <is>
          <t>SPY</t>
        </is>
      </c>
      <c r="C19" s="56" t="inlineStr">
        <is>
          <t>BUY</t>
        </is>
      </c>
      <c r="D19" t="inlineStr">
        <is>
          <t>RSI=26&lt;40 + Negativ + RVOL=1.4x</t>
        </is>
      </c>
      <c r="E19" t="n">
        <v>25.79</v>
      </c>
      <c r="F19" t="inlineStr">
        <is>
          <t>Negativ</t>
        </is>
      </c>
      <c r="G19" t="inlineStr">
        <is>
          <t>Golden Cross</t>
        </is>
      </c>
      <c r="H19" t="inlineStr">
        <is>
          <t>Crescut</t>
        </is>
      </c>
      <c r="I19" t="n">
        <v>-3.28</v>
      </c>
      <c r="J19" t="n">
        <v>3</v>
      </c>
      <c r="K19" t="n">
        <v>648.5700000000001</v>
      </c>
      <c r="L19" t="n">
        <v>632.9816</v>
      </c>
      <c r="M19" t="n">
        <v>679.7469</v>
      </c>
      <c r="N19">
        <f>IFERROR((M19-K19)/(K19-L19),"N/A")</f>
        <v/>
      </c>
      <c r="O19" t="n">
        <v>76</v>
      </c>
      <c r="P19" t="inlineStr">
        <is>
          <t>Activ</t>
        </is>
      </c>
      <c r="Q19" t="inlineStr">
        <is>
          <t>Auto-generat 02:10</t>
        </is>
      </c>
    </row>
    <row r="20">
      <c r="A20" t="inlineStr">
        <is>
          <t>23.03.2026</t>
        </is>
      </c>
      <c r="B20" t="inlineStr">
        <is>
          <t>S&amp;P 500</t>
        </is>
      </c>
      <c r="C20" s="56" t="inlineStr">
        <is>
          <t>BUY</t>
        </is>
      </c>
      <c r="D20" t="inlineStr">
        <is>
          <t>RSI=25&lt;40 + Negativ + RVOL=1.2x</t>
        </is>
      </c>
      <c r="E20" t="n">
        <v>25.34</v>
      </c>
      <c r="F20" t="inlineStr">
        <is>
          <t>Negativ</t>
        </is>
      </c>
      <c r="G20" t="inlineStr">
        <is>
          <t>Golden Cross</t>
        </is>
      </c>
      <c r="H20" t="inlineStr">
        <is>
          <t>Crescut</t>
        </is>
      </c>
      <c r="I20" t="n">
        <v>-3.46</v>
      </c>
      <c r="J20" t="n">
        <v>3</v>
      </c>
      <c r="K20" t="n">
        <v>6506.48</v>
      </c>
      <c r="L20" t="n">
        <v>6349.7064</v>
      </c>
      <c r="M20" t="n">
        <v>6820.0271</v>
      </c>
      <c r="N20">
        <f>IFERROR((M20-K20)/(K20-L20),"N/A")</f>
        <v/>
      </c>
      <c r="O20" t="n">
        <v>76</v>
      </c>
      <c r="P20" t="inlineStr">
        <is>
          <t>Activ</t>
        </is>
      </c>
      <c r="Q20" t="inlineStr">
        <is>
          <t>Auto-generat 02:12</t>
        </is>
      </c>
    </row>
    <row r="21">
      <c r="A21" t="inlineStr">
        <is>
          <t>23.03.2026</t>
        </is>
      </c>
      <c r="B21" t="inlineStr">
        <is>
          <t>NASDAQ</t>
        </is>
      </c>
      <c r="C21" s="56" t="inlineStr">
        <is>
          <t>BUY</t>
        </is>
      </c>
      <c r="D21" t="inlineStr">
        <is>
          <t>RSI=32&lt;40 + Negativ + RVOL=1.2x</t>
        </is>
      </c>
      <c r="E21" t="n">
        <v>32.17</v>
      </c>
      <c r="F21" t="inlineStr">
        <is>
          <t>Negativ</t>
        </is>
      </c>
      <c r="G21" t="inlineStr">
        <is>
          <t>Golden Cross</t>
        </is>
      </c>
      <c r="H21" t="inlineStr">
        <is>
          <t>Normal</t>
        </is>
      </c>
      <c r="I21" t="n">
        <v>-3.31</v>
      </c>
      <c r="J21" t="n">
        <v>2</v>
      </c>
      <c r="K21" t="n">
        <v>21647.6113</v>
      </c>
      <c r="L21" t="n">
        <v>21028.5408</v>
      </c>
      <c r="M21" t="n">
        <v>22885.7524</v>
      </c>
      <c r="N21">
        <f>IFERROR((M21-K21)/(K21-L21),"N/A")</f>
        <v/>
      </c>
      <c r="O21" t="n">
        <v>64</v>
      </c>
      <c r="P21" t="inlineStr">
        <is>
          <t>Activ</t>
        </is>
      </c>
      <c r="Q21" t="inlineStr">
        <is>
          <t>Auto-generat 02:12</t>
        </is>
      </c>
    </row>
    <row r="22">
      <c r="A22" t="inlineStr">
        <is>
          <t>23.03.2026</t>
        </is>
      </c>
      <c r="B22" t="inlineStr">
        <is>
          <t>EUR/USD</t>
        </is>
      </c>
      <c r="C22" s="57" t="inlineStr">
        <is>
          <t>WAIT</t>
        </is>
      </c>
      <c r="D22" t="inlineStr">
        <is>
          <t>Confluențe insuficiente (1/4)</t>
        </is>
      </c>
      <c r="E22" t="n">
        <v>41.81</v>
      </c>
      <c r="F22" t="inlineStr">
        <is>
          <t>Negativ</t>
        </is>
      </c>
      <c r="G22" t="inlineStr">
        <is>
          <t>Golden Cross</t>
        </is>
      </c>
      <c r="H22" t="inlineStr">
        <is>
          <t>Normal</t>
        </is>
      </c>
      <c r="I22" t="n">
        <v>0.37</v>
      </c>
      <c r="J22" t="n">
        <v>1</v>
      </c>
      <c r="K22" t="n">
        <v>1.1566</v>
      </c>
      <c r="L22" t="n">
        <v>1.1374</v>
      </c>
      <c r="M22" t="n">
        <v>1.1758</v>
      </c>
      <c r="N22">
        <f>IFERROR((M22-K22)/(K22-L22),"N/A")</f>
        <v/>
      </c>
      <c r="O22" t="n">
        <v>52</v>
      </c>
      <c r="P22" t="inlineStr">
        <is>
          <t>Activ</t>
        </is>
      </c>
      <c r="Q22" t="inlineStr">
        <is>
          <t>Auto-generat 02:12</t>
        </is>
      </c>
    </row>
    <row r="23">
      <c r="A23" t="inlineStr">
        <is>
          <t>23.03.2026</t>
        </is>
      </c>
      <c r="B23" t="inlineStr">
        <is>
          <t>Gold</t>
        </is>
      </c>
      <c r="C23" s="56" t="inlineStr">
        <is>
          <t>BUY</t>
        </is>
      </c>
      <c r="D23" t="inlineStr">
        <is>
          <t>RSI=21&lt;40 + Negativ + RVOL=4.3x</t>
        </is>
      </c>
      <c r="E23" t="n">
        <v>21.16</v>
      </c>
      <c r="F23" t="inlineStr">
        <is>
          <t>Negativ</t>
        </is>
      </c>
      <c r="G23" t="inlineStr">
        <is>
          <t>Golden Cross</t>
        </is>
      </c>
      <c r="H23" t="inlineStr">
        <is>
          <t>Crescut</t>
        </is>
      </c>
      <c r="I23" t="n">
        <v>-12.47</v>
      </c>
      <c r="J23" t="n">
        <v>3</v>
      </c>
      <c r="K23" t="n">
        <v>4456.3999</v>
      </c>
      <c r="L23" t="n">
        <v>4290.457</v>
      </c>
      <c r="M23" t="n">
        <v>4788.2857</v>
      </c>
      <c r="N23">
        <f>IFERROR((M23-K23)/(K23-L23),"N/A")</f>
        <v/>
      </c>
      <c r="O23" t="n">
        <v>76</v>
      </c>
      <c r="P23" t="inlineStr">
        <is>
          <t>Activ</t>
        </is>
      </c>
      <c r="Q23" t="inlineStr">
        <is>
          <t>Auto-generat 02:12</t>
        </is>
      </c>
    </row>
    <row r="24">
      <c r="A24" t="inlineStr">
        <is>
          <t>23.03.2026</t>
        </is>
      </c>
      <c r="B24" t="inlineStr">
        <is>
          <t>Oil WTI</t>
        </is>
      </c>
      <c r="C24" s="57" t="inlineStr">
        <is>
          <t>WAIT</t>
        </is>
      </c>
      <c r="D24" t="inlineStr">
        <is>
          <t>Confluențe insuficiente (1/4)</t>
        </is>
      </c>
      <c r="E24" t="n">
        <v>70.98999999999999</v>
      </c>
      <c r="F24" t="inlineStr">
        <is>
          <t>Pozitiv</t>
        </is>
      </c>
      <c r="G24" t="inlineStr">
        <is>
          <t>Golden Cross</t>
        </is>
      </c>
      <c r="H24" t="inlineStr">
        <is>
          <t>Scăzut</t>
        </is>
      </c>
      <c r="I24" t="n">
        <v>4.19</v>
      </c>
      <c r="J24" t="n">
        <v>1</v>
      </c>
      <c r="K24" t="n">
        <v>98.73999999999999</v>
      </c>
      <c r="L24" t="n">
        <v>77.4158</v>
      </c>
      <c r="M24" t="n">
        <v>120.0642</v>
      </c>
      <c r="N24">
        <f>IFERROR((M24-K24)/(K24-L24),"N/A")</f>
        <v/>
      </c>
      <c r="O24" t="n">
        <v>52</v>
      </c>
      <c r="P24" t="inlineStr">
        <is>
          <t>Activ</t>
        </is>
      </c>
      <c r="Q24" t="inlineStr">
        <is>
          <t>Auto-generat 02:12</t>
        </is>
      </c>
    </row>
    <row r="25">
      <c r="A25" t="inlineStr">
        <is>
          <t>23.03.2026</t>
        </is>
      </c>
      <c r="B25" t="inlineStr">
        <is>
          <t>BTC/USD</t>
        </is>
      </c>
      <c r="C25" s="58" t="inlineStr">
        <is>
          <t>SELL</t>
        </is>
      </c>
      <c r="D25" t="inlineStr">
        <is>
          <t>RSI=56&gt;70 + Bearish Cross + RVOL=0.9x</t>
        </is>
      </c>
      <c r="E25" t="n">
        <v>55.84</v>
      </c>
      <c r="F25" t="inlineStr">
        <is>
          <t>Bearish Cross</t>
        </is>
      </c>
      <c r="G25" t="inlineStr">
        <is>
          <t>Death Cross</t>
        </is>
      </c>
      <c r="H25" t="inlineStr">
        <is>
          <t>Normal</t>
        </is>
      </c>
      <c r="I25" t="n">
        <v>-3.6</v>
      </c>
      <c r="J25" t="n">
        <v>2</v>
      </c>
      <c r="K25" t="n">
        <v>67956.44530000001</v>
      </c>
      <c r="L25" t="n">
        <v>71703.807</v>
      </c>
      <c r="M25" t="n">
        <v>60461.722</v>
      </c>
      <c r="N25">
        <f>IFERROR((M25-K25)/(K25-L25),"N/A")</f>
        <v/>
      </c>
      <c r="O25" t="n">
        <v>64</v>
      </c>
      <c r="P25" t="inlineStr">
        <is>
          <t>Activ</t>
        </is>
      </c>
      <c r="Q25" t="inlineStr">
        <is>
          <t>Auto-generat 02:12</t>
        </is>
      </c>
    </row>
    <row r="26">
      <c r="A26" t="inlineStr">
        <is>
          <t>23.03.2026</t>
        </is>
      </c>
      <c r="B26" t="inlineStr">
        <is>
          <t>NVDA</t>
        </is>
      </c>
      <c r="C26" s="56" t="inlineStr">
        <is>
          <t>BUY</t>
        </is>
      </c>
      <c r="D26" t="inlineStr">
        <is>
          <t>RSI=38&lt;40 + Negativ + RVOL=1.2x</t>
        </is>
      </c>
      <c r="E26" t="n">
        <v>37.61</v>
      </c>
      <c r="F26" t="inlineStr">
        <is>
          <t>Negativ</t>
        </is>
      </c>
      <c r="G26" t="inlineStr">
        <is>
          <t>Golden Cross</t>
        </is>
      </c>
      <c r="H26" t="inlineStr">
        <is>
          <t>Crescut</t>
        </is>
      </c>
      <c r="I26" t="n">
        <v>-2.74</v>
      </c>
      <c r="J26" t="n">
        <v>3</v>
      </c>
      <c r="K26" t="n">
        <v>172.93</v>
      </c>
      <c r="L26" t="n">
        <v>164.88</v>
      </c>
      <c r="M26" t="n">
        <v>189.0301</v>
      </c>
      <c r="N26">
        <f>IFERROR((M26-K26)/(K26-L26),"N/A")</f>
        <v/>
      </c>
      <c r="O26" t="n">
        <v>76</v>
      </c>
      <c r="P26" t="inlineStr">
        <is>
          <t>Activ</t>
        </is>
      </c>
      <c r="Q26" t="inlineStr">
        <is>
          <t>Auto-generat 02:12</t>
        </is>
      </c>
    </row>
    <row r="27">
      <c r="A27" t="inlineStr">
        <is>
          <t>23.03.2026</t>
        </is>
      </c>
      <c r="B27" t="inlineStr">
        <is>
          <t>SPY</t>
        </is>
      </c>
      <c r="C27" s="56" t="inlineStr">
        <is>
          <t>BUY</t>
        </is>
      </c>
      <c r="D27" t="inlineStr">
        <is>
          <t>RSI=26&lt;40 + Negativ + RVOL=1.4x</t>
        </is>
      </c>
      <c r="E27" t="n">
        <v>25.79</v>
      </c>
      <c r="F27" t="inlineStr">
        <is>
          <t>Negativ</t>
        </is>
      </c>
      <c r="G27" t="inlineStr">
        <is>
          <t>Golden Cross</t>
        </is>
      </c>
      <c r="H27" t="inlineStr">
        <is>
          <t>Crescut</t>
        </is>
      </c>
      <c r="I27" t="n">
        <v>-3.28</v>
      </c>
      <c r="J27" t="n">
        <v>3</v>
      </c>
      <c r="K27" t="n">
        <v>648.5700000000001</v>
      </c>
      <c r="L27" t="n">
        <v>632.9816</v>
      </c>
      <c r="M27" t="n">
        <v>679.7469</v>
      </c>
      <c r="N27">
        <f>IFERROR((M27-K27)/(K27-L27),"N/A")</f>
        <v/>
      </c>
      <c r="O27" t="n">
        <v>76</v>
      </c>
      <c r="P27" t="inlineStr">
        <is>
          <t>Activ</t>
        </is>
      </c>
      <c r="Q27" t="inlineStr">
        <is>
          <t>Auto-generat 02:12</t>
        </is>
      </c>
    </row>
  </sheetData>
  <mergeCells count="3">
    <mergeCell ref="A11:S11"/>
    <mergeCell ref="A1:S1"/>
    <mergeCell ref="A10:S10"/>
  </mergeCells>
  <conditionalFormatting sqref="C3:C200">
    <cfRule type="cellIs" priority="2" operator="equal" dxfId="2">
      <formula>"BUY"</formula>
    </cfRule>
    <cfRule type="cellIs" priority="3" operator="equal" dxfId="1">
      <formula>"SELL"</formula>
    </cfRule>
    <cfRule type="cellIs" priority="4" operator="equal" dxfId="0">
      <formula>"WAIT"</formula>
    </cfRule>
  </conditionalFormatting>
  <conditionalFormatting sqref="P3:P200">
    <cfRule type="cellIs" priority="5" operator="equal" dxfId="2">
      <formula>"Activ"</formula>
    </cfRule>
    <cfRule type="cellIs" priority="6" operator="equal" dxfId="2">
      <formula>"Pozitiv"</formula>
    </cfRule>
    <cfRule type="cellIs" priority="7" operator="equal" dxfId="0">
      <formula>"Executat"</formula>
    </cfRule>
    <cfRule type="cellIs" priority="8" operator="equal" dxfId="1">
      <formula>"Expirat"</formula>
    </cfRule>
    <cfRule type="cellIs" priority="9" operator="equal" dxfId="1">
      <formula>"Negativ"</formula>
    </cfRule>
    <cfRule type="cellIs" priority="10" operator="equal" dxfId="0">
      <formula>"Neutru"</formula>
    </cfRule>
  </conditionalFormatting>
  <dataValidations count="4">
    <dataValidation sqref="C3:C200" showDropDown="0" showInputMessage="0" showErrorMessage="0" allowBlank="1" type="list">
      <formula1>"BUY,SELL,WAIT"</formula1>
      <formula2>0</formula2>
    </dataValidation>
    <dataValidation sqref="P3:P200" showDropDown="0" showInputMessage="0" showErrorMessage="0" allowBlank="1" type="list">
      <formula1>"Activ,Expirat,Executat"</formula1>
      <formula2>0</formula2>
    </dataValidation>
    <dataValidation sqref="F3:F200" showDropDown="0" showInputMessage="0" showErrorMessage="0" allowBlank="1" type="list">
      <formula1>"Bullish Cross,Bearish Cross,Pozitiv,Negativ,Neutru"</formula1>
      <formula2>0</formula2>
    </dataValidation>
    <dataValidation sqref="G3:G200" showDropDown="0" showInputMessage="0" showErrorMessage="0" allowBlank="1" type="list">
      <formula1>"Golden Cross,Death Cross,Neutru"</formula1>
      <formula2>0</formula2>
    </dataValidation>
  </dataValidations>
  <pageMargins left="0.75" right="0.75" top="1" bottom="1" header="0.511811023622047" footer="0.511811023622047"/>
  <pageSetup orientation="portrait" paperSize="9" scale="35" horizontalDpi="300" verticalDpi="300"/>
</worksheet>
</file>

<file path=xl/worksheets/sheet4.xml><?xml version="1.0" encoding="utf-8"?>
<worksheet xmlns="http://schemas.openxmlformats.org/spreadsheetml/2006/main">
  <sheetPr>
    <tabColor rgb="FF808080"/>
    <outlinePr summaryBelow="1" summaryRight="1"/>
    <pageSetUpPr/>
  </sheetPr>
  <dimension ref="A1:W102"/>
  <sheetViews>
    <sheetView view="pageBreakPreview" zoomScale="60" zoomScaleNormal="100" workbookViewId="0">
      <pane xSplit="2" ySplit="2" topLeftCell="C3" activePane="bottomRight" state="frozen"/>
      <selection pane="topRight" activeCell="C1" sqref="C1"/>
      <selection pane="bottomLeft" activeCell="A3" sqref="A3"/>
      <selection pane="bottomRight" activeCell="V95" sqref="V95"/>
    </sheetView>
  </sheetViews>
  <sheetFormatPr baseColWidth="8" defaultColWidth="8.6328125" defaultRowHeight="14.5"/>
  <cols>
    <col width="12" customWidth="1" style="113" min="1" max="1"/>
    <col width="14" customWidth="1" style="113" min="2" max="2"/>
    <col width="10" customWidth="1" style="113" min="3" max="3"/>
    <col width="11.453125" bestFit="1" customWidth="1" style="113" min="4" max="7"/>
    <col width="10" customWidth="1" style="113" min="8" max="8"/>
    <col width="14.1796875" bestFit="1" customWidth="1" style="113" min="9" max="9"/>
    <col width="11.90625" bestFit="1" customWidth="1" style="113" min="10" max="10"/>
    <col width="15.7265625" bestFit="1" customWidth="1" style="113" min="11" max="11"/>
    <col width="12" customWidth="1" style="113" min="12" max="13"/>
    <col width="11.7265625" bestFit="1" customWidth="1" style="113" min="14" max="14"/>
    <col width="11.453125" bestFit="1" customWidth="1" style="113" min="15" max="15"/>
    <col width="10.36328125" bestFit="1" customWidth="1" style="113" min="16" max="16"/>
    <col width="9.90625" bestFit="1" customWidth="1" style="113" min="17" max="17"/>
    <col width="14" customWidth="1" style="113" min="18" max="18"/>
    <col width="8" customWidth="1" style="113" min="19" max="19"/>
    <col width="14.1796875" bestFit="1" customWidth="1" style="113" min="20" max="20"/>
    <col width="12" customWidth="1" style="113" min="21" max="22"/>
    <col width="20" customWidth="1" style="113" min="23" max="23"/>
  </cols>
  <sheetData>
    <row r="1" ht="34.5" customHeight="1" s="113">
      <c r="A1" s="155" t="inlineStr">
        <is>
          <t>📉 INDICATORI TEHNICI</t>
        </is>
      </c>
    </row>
    <row r="2" ht="23.25" customHeight="1" s="113">
      <c r="A2" s="143" t="inlineStr">
        <is>
          <t>Data</t>
        </is>
      </c>
      <c r="B2" s="143" t="inlineStr">
        <is>
          <t>Activ</t>
        </is>
      </c>
      <c r="C2" s="143" t="inlineStr">
        <is>
          <t>Preț</t>
        </is>
      </c>
      <c r="D2" s="143" t="inlineStr">
        <is>
          <t>MA20</t>
        </is>
      </c>
      <c r="E2" s="143" t="inlineStr">
        <is>
          <t>MA50</t>
        </is>
      </c>
      <c r="F2" s="143" t="inlineStr">
        <is>
          <t>MA200</t>
        </is>
      </c>
      <c r="G2" s="143" t="inlineStr">
        <is>
          <t>RSI(14)</t>
        </is>
      </c>
      <c r="H2" s="143" t="inlineStr">
        <is>
          <t>RSI Status</t>
        </is>
      </c>
      <c r="I2" s="143" t="inlineStr">
        <is>
          <t>MACD</t>
        </is>
      </c>
      <c r="J2" s="143" t="inlineStr">
        <is>
          <t>MACD Signal</t>
        </is>
      </c>
      <c r="K2" s="143" t="inlineStr">
        <is>
          <t>MACD Histogram</t>
        </is>
      </c>
      <c r="L2" s="143" t="inlineStr">
        <is>
          <t>BB Superior</t>
        </is>
      </c>
      <c r="M2" s="143" t="inlineStr">
        <is>
          <t>BB Inferior</t>
        </is>
      </c>
      <c r="N2" s="143" t="inlineStr">
        <is>
          <t>Lățime Band</t>
        </is>
      </c>
      <c r="O2" s="143" t="inlineStr">
        <is>
          <t>ATR</t>
        </is>
      </c>
      <c r="P2" s="143" t="inlineStr">
        <is>
          <t>Stoch %K</t>
        </is>
      </c>
      <c r="Q2" s="143" t="inlineStr">
        <is>
          <t>Stoch %D</t>
        </is>
      </c>
      <c r="R2" s="143" t="inlineStr">
        <is>
          <t>Volum</t>
        </is>
      </c>
      <c r="S2" s="143" t="inlineStr">
        <is>
          <t>RVOL</t>
        </is>
      </c>
      <c r="T2" s="143" t="inlineStr">
        <is>
          <t>Trend</t>
        </is>
      </c>
      <c r="U2" s="143" t="inlineStr">
        <is>
          <t>Suport cheie</t>
        </is>
      </c>
      <c r="V2" s="143" t="inlineStr">
        <is>
          <t>Rezistență cheie</t>
        </is>
      </c>
      <c r="W2" s="143" t="inlineStr">
        <is>
          <t>Note</t>
        </is>
      </c>
    </row>
    <row r="3" ht="15" customHeight="1" s="113">
      <c r="A3" s="81" t="inlineStr">
        <is>
          <t>--- INDICI BURSIERI ---</t>
        </is>
      </c>
      <c r="B3" s="82" t="n"/>
      <c r="C3" s="83" t="n"/>
      <c r="D3" s="83" t="n"/>
      <c r="E3" s="83" t="n"/>
      <c r="F3" s="83" t="n"/>
      <c r="G3" s="84" t="n"/>
      <c r="H3" s="85" t="n"/>
      <c r="I3" s="83" t="n"/>
      <c r="J3" s="83" t="n"/>
      <c r="K3" s="83" t="n"/>
      <c r="L3" s="83" t="n"/>
      <c r="M3" s="83" t="n"/>
      <c r="N3" s="83" t="n"/>
      <c r="O3" s="83" t="n"/>
      <c r="P3" s="83" t="n"/>
      <c r="Q3" s="83" t="n"/>
      <c r="R3" s="86" t="n"/>
      <c r="S3" s="87" t="n"/>
      <c r="T3" s="88" t="n"/>
      <c r="U3" s="83" t="n"/>
      <c r="V3" s="83" t="n"/>
      <c r="W3" s="85" t="n"/>
    </row>
    <row r="4" ht="15" customHeight="1" s="113">
      <c r="A4" s="137" t="inlineStr">
        <is>
          <t>23.03.2026</t>
        </is>
      </c>
      <c r="B4" s="89" t="inlineStr">
        <is>
          <t>S&amp;P 500</t>
        </is>
      </c>
      <c r="C4" s="62" t="inlineStr">
        <is>
          <t>^GSPC</t>
        </is>
      </c>
      <c r="D4" s="63" t="n">
        <v>6506.47998</v>
      </c>
      <c r="E4" s="63" t="n">
        <v>6770.569482</v>
      </c>
      <c r="F4" s="63" t="n">
        <v>6857.763779</v>
      </c>
      <c r="G4" s="64" t="n">
        <v>6621.733787</v>
      </c>
      <c r="H4" s="90" t="n">
        <v>25.34</v>
      </c>
      <c r="I4" s="62" t="inlineStr">
        <is>
          <t>Supravendut ▲</t>
        </is>
      </c>
      <c r="J4" s="65" t="n">
        <v>-77.236208</v>
      </c>
      <c r="K4" s="65" t="n">
        <v>-52.760516</v>
      </c>
      <c r="L4" s="65" t="n">
        <v>-24.475692</v>
      </c>
      <c r="M4" s="62" t="inlineStr">
        <is>
          <t>Negativ</t>
        </is>
      </c>
      <c r="N4" s="63" t="n">
        <v>7006.667708</v>
      </c>
      <c r="O4" s="63" t="n">
        <v>6534.471257</v>
      </c>
      <c r="P4" s="63" t="n">
        <v>472.196451</v>
      </c>
      <c r="Q4" s="66" t="n">
        <v>104.51573</v>
      </c>
      <c r="R4" s="67" t="n">
        <v>7.99</v>
      </c>
      <c r="S4" s="67" t="n">
        <v>7.75</v>
      </c>
      <c r="T4" s="68" t="n">
        <v>7040255000</v>
      </c>
      <c r="U4" s="61" t="n">
        <v>1.21</v>
      </c>
      <c r="V4" s="91" t="inlineStr">
        <is>
          <t>Bearish</t>
        </is>
      </c>
      <c r="W4" s="92" t="inlineStr">
        <is>
          <t>Golden Cross</t>
        </is>
      </c>
    </row>
    <row r="5" ht="15" customHeight="1" s="113">
      <c r="A5" s="137" t="inlineStr">
        <is>
          <t>23.03.2026</t>
        </is>
      </c>
      <c r="B5" s="89" t="inlineStr">
        <is>
          <t>NASDAQ 100</t>
        </is>
      </c>
      <c r="C5" s="62" t="inlineStr">
        <is>
          <t>^NDX</t>
        </is>
      </c>
      <c r="D5" s="63" t="n">
        <v>23898.154297</v>
      </c>
      <c r="E5" s="63" t="n">
        <v>24769.826953</v>
      </c>
      <c r="F5" s="63" t="n">
        <v>25106.25832</v>
      </c>
      <c r="G5" s="64" t="n">
        <v>24359.156572</v>
      </c>
      <c r="H5" s="93" t="n">
        <v>33.45</v>
      </c>
      <c r="I5" s="62" t="inlineStr">
        <is>
          <t>Slab</t>
        </is>
      </c>
      <c r="J5" s="65" t="n">
        <v>-217.404609</v>
      </c>
      <c r="K5" s="65" t="n">
        <v>-150.495927</v>
      </c>
      <c r="L5" s="65" t="n">
        <v>-66.908681</v>
      </c>
      <c r="M5" s="62" t="inlineStr">
        <is>
          <t>Negativ</t>
        </is>
      </c>
      <c r="N5" s="63" t="n">
        <v>25432.234605</v>
      </c>
      <c r="O5" s="63" t="n">
        <v>24107.419301</v>
      </c>
      <c r="P5" s="63" t="n">
        <v>1324.815304</v>
      </c>
      <c r="Q5" s="66" t="n">
        <v>443.209961</v>
      </c>
      <c r="R5" s="67" t="n">
        <v>9.67</v>
      </c>
      <c r="S5" s="67" t="n">
        <v>16.05</v>
      </c>
      <c r="T5" s="68" t="n">
        <v>2335365000</v>
      </c>
      <c r="U5" s="61" t="n">
        <v>0.27</v>
      </c>
      <c r="V5" s="91" t="inlineStr">
        <is>
          <t>Bearish</t>
        </is>
      </c>
      <c r="W5" s="92" t="inlineStr">
        <is>
          <t>Golden Cross</t>
        </is>
      </c>
    </row>
    <row r="6" ht="26" customHeight="1" s="113">
      <c r="A6" s="137" t="inlineStr">
        <is>
          <t>23.03.2026</t>
        </is>
      </c>
      <c r="B6" s="89" t="inlineStr">
        <is>
          <t>NASDAQ Comp.</t>
        </is>
      </c>
      <c r="C6" s="62" t="inlineStr">
        <is>
          <t>^IXIC</t>
        </is>
      </c>
      <c r="D6" s="63" t="n">
        <v>21647.611328</v>
      </c>
      <c r="E6" s="63" t="n">
        <v>22533.513477</v>
      </c>
      <c r="F6" s="63" t="n">
        <v>22961.954805</v>
      </c>
      <c r="G6" s="69" t="n">
        <v>22248.951973</v>
      </c>
      <c r="H6" s="93" t="n">
        <v>32.17</v>
      </c>
      <c r="I6" s="62" t="inlineStr">
        <is>
          <t>Slab</t>
        </is>
      </c>
      <c r="J6" s="65" t="n">
        <v>-255.656472</v>
      </c>
      <c r="K6" s="65" t="n">
        <v>-192.79812</v>
      </c>
      <c r="L6" s="65" t="n">
        <v>-62.858352</v>
      </c>
      <c r="M6" s="62" t="inlineStr">
        <is>
          <t>Negativ</t>
        </is>
      </c>
      <c r="N6" s="63" t="n">
        <v>23229.403866</v>
      </c>
      <c r="O6" s="63" t="n">
        <v>21837.623087</v>
      </c>
      <c r="P6" s="63" t="n">
        <v>1391.78078</v>
      </c>
      <c r="Q6" s="66" t="n">
        <v>412.713728</v>
      </c>
      <c r="R6" s="67" t="n">
        <v>9.02</v>
      </c>
      <c r="S6" s="67" t="n">
        <v>14.14</v>
      </c>
      <c r="T6" s="68" t="n">
        <v>10441715000</v>
      </c>
      <c r="U6" s="61" t="n">
        <v>1.15</v>
      </c>
      <c r="V6" s="91" t="inlineStr">
        <is>
          <t>Bearish</t>
        </is>
      </c>
      <c r="W6" s="92" t="inlineStr">
        <is>
          <t>Golden Cross</t>
        </is>
      </c>
    </row>
    <row r="7" ht="15" customHeight="1" s="113">
      <c r="A7" s="137" t="inlineStr">
        <is>
          <t>23.03.2026</t>
        </is>
      </c>
      <c r="B7" s="89" t="inlineStr">
        <is>
          <t>Dow Jones</t>
        </is>
      </c>
      <c r="C7" s="62" t="inlineStr">
        <is>
          <t>^DJI</t>
        </is>
      </c>
      <c r="D7" s="63" t="n">
        <v>45577.46875</v>
      </c>
      <c r="E7" s="63" t="n">
        <v>47770.209961</v>
      </c>
      <c r="F7" s="63" t="n">
        <v>48742.831719</v>
      </c>
      <c r="G7" s="70" t="n">
        <v>46562.839551</v>
      </c>
      <c r="H7" s="90" t="n">
        <v>17.71</v>
      </c>
      <c r="I7" s="62" t="inlineStr">
        <is>
          <t>Supravendut ▲</t>
        </is>
      </c>
      <c r="J7" s="65" t="n">
        <v>-819.307566</v>
      </c>
      <c r="K7" s="65" t="n">
        <v>-601.312894</v>
      </c>
      <c r="L7" s="65" t="n">
        <v>-217.994671</v>
      </c>
      <c r="M7" s="62" t="inlineStr">
        <is>
          <t>Negativ</t>
        </is>
      </c>
      <c r="N7" s="63" t="n">
        <v>50181.314341</v>
      </c>
      <c r="O7" s="63" t="n">
        <v>45359.105581</v>
      </c>
      <c r="P7" s="63" t="n">
        <v>4822.208759</v>
      </c>
      <c r="Q7" s="66" t="n">
        <v>781.734096</v>
      </c>
      <c r="R7" s="67" t="n">
        <v>5.97</v>
      </c>
      <c r="S7" s="67" t="n">
        <v>5.22</v>
      </c>
      <c r="T7" s="71" t="n">
        <v>1068426541</v>
      </c>
      <c r="U7" s="61" t="n">
        <v>1.88</v>
      </c>
      <c r="V7" s="91" t="inlineStr">
        <is>
          <t>Bearish</t>
        </is>
      </c>
      <c r="W7" s="92" t="inlineStr">
        <is>
          <t>Golden Cross</t>
        </is>
      </c>
    </row>
    <row r="8">
      <c r="A8" t="inlineStr">
        <is>
          <t>23.03.2026</t>
        </is>
      </c>
      <c r="B8" s="94" t="inlineStr">
        <is>
          <t>Russell 2000</t>
        </is>
      </c>
      <c r="C8" t="inlineStr">
        <is>
          <t>^RUT</t>
        </is>
      </c>
      <c r="D8" s="72" t="n">
        <v>2438.450928</v>
      </c>
      <c r="E8" s="72" t="n">
        <v>2565.312561</v>
      </c>
      <c r="F8" s="72" t="n">
        <v>2617.664629</v>
      </c>
      <c r="G8" s="73" t="n">
        <v>2428.958505</v>
      </c>
      <c r="H8" s="95" t="n">
        <v>25.37</v>
      </c>
      <c r="I8" t="inlineStr">
        <is>
          <t>Supravendut ▲</t>
        </is>
      </c>
      <c r="J8" s="74" t="n">
        <v>-43.188957</v>
      </c>
      <c r="K8" s="74" t="n">
        <v>-31.561897</v>
      </c>
      <c r="L8" s="74" t="n">
        <v>-11.627061</v>
      </c>
      <c r="M8" t="inlineStr">
        <is>
          <t>Negativ</t>
        </is>
      </c>
      <c r="N8" s="72" t="n">
        <v>2712.504556</v>
      </c>
      <c r="O8" s="72" t="n">
        <v>2418.120566</v>
      </c>
      <c r="P8" s="72" t="n">
        <v>294.38399</v>
      </c>
      <c r="Q8" s="75" t="n">
        <v>58.958409</v>
      </c>
      <c r="R8" s="76" t="n">
        <v>6.99</v>
      </c>
      <c r="S8" s="76" t="n">
        <v>12.36</v>
      </c>
      <c r="T8" s="77" t="n">
        <v>0</v>
      </c>
      <c r="U8" s="61" t="n">
        <v>0</v>
      </c>
      <c r="V8" s="96" t="inlineStr">
        <is>
          <t>Bearish</t>
        </is>
      </c>
      <c r="W8" s="97" t="inlineStr">
        <is>
          <t>Golden Cross</t>
        </is>
      </c>
    </row>
    <row r="9">
      <c r="A9" t="inlineStr">
        <is>
          <t>23.03.2026</t>
        </is>
      </c>
      <c r="B9" s="94" t="inlineStr">
        <is>
          <t>DAX Germany</t>
        </is>
      </c>
      <c r="C9" t="inlineStr">
        <is>
          <t>^GDAXI</t>
        </is>
      </c>
      <c r="D9" s="72" t="n">
        <v>22380.189453</v>
      </c>
      <c r="E9" s="72" t="n">
        <v>23992.006348</v>
      </c>
      <c r="F9" s="72" t="n">
        <v>24549.658008</v>
      </c>
      <c r="G9" s="78" t="n">
        <v>24139.000303</v>
      </c>
      <c r="H9" s="95" t="n">
        <v>26.35</v>
      </c>
      <c r="I9" t="inlineStr">
        <is>
          <t>Supravendut ▲</t>
        </is>
      </c>
      <c r="J9" s="74" t="n">
        <v>-475.062833</v>
      </c>
      <c r="K9" s="74" t="n">
        <v>-343.01787</v>
      </c>
      <c r="L9" s="74" t="n">
        <v>-132.044962</v>
      </c>
      <c r="M9" t="inlineStr">
        <is>
          <t>Negativ</t>
        </is>
      </c>
      <c r="N9" s="72" t="n">
        <v>25632.117408</v>
      </c>
      <c r="O9" s="72" t="n">
        <v>22351.895287</v>
      </c>
      <c r="P9" s="72" t="n">
        <v>3280.222122</v>
      </c>
      <c r="Q9" s="75" t="n">
        <v>579.861328</v>
      </c>
      <c r="R9" s="76" t="n">
        <v>0.54</v>
      </c>
      <c r="S9" s="76" t="n">
        <v>9.16</v>
      </c>
      <c r="T9" s="77" t="n">
        <v>0</v>
      </c>
      <c r="U9" s="61" t="n">
        <v>0</v>
      </c>
      <c r="V9" s="96" t="inlineStr">
        <is>
          <t>Bearish</t>
        </is>
      </c>
      <c r="W9" s="97" t="inlineStr">
        <is>
          <t>Golden Cross</t>
        </is>
      </c>
    </row>
    <row r="10">
      <c r="A10" t="inlineStr">
        <is>
          <t>23.03.2026</t>
        </is>
      </c>
      <c r="B10" s="94" t="inlineStr">
        <is>
          <t>FTSE 100</t>
        </is>
      </c>
      <c r="C10" t="inlineStr">
        <is>
          <t>^FTSE</t>
        </is>
      </c>
      <c r="D10" s="72" t="n">
        <v>9918.330078000001</v>
      </c>
      <c r="E10" s="72" t="n">
        <v>10452.496484</v>
      </c>
      <c r="F10" s="72" t="n">
        <v>10369.504629</v>
      </c>
      <c r="G10" s="73" t="n">
        <v>9609.681655</v>
      </c>
      <c r="H10" s="95" t="n">
        <v>23.71</v>
      </c>
      <c r="I10" t="inlineStr">
        <is>
          <t>Supravendut ▲</t>
        </is>
      </c>
      <c r="J10" s="74" t="n">
        <v>-83.521243</v>
      </c>
      <c r="K10" s="74" t="n">
        <v>-20.396914</v>
      </c>
      <c r="L10" s="74" t="n">
        <v>-63.124329</v>
      </c>
      <c r="M10" t="inlineStr">
        <is>
          <t>Negativ</t>
        </is>
      </c>
      <c r="N10" s="72" t="n">
        <v>10983.117093</v>
      </c>
      <c r="O10" s="72" t="n">
        <v>9921.875876</v>
      </c>
      <c r="P10" s="72" t="n">
        <v>1061.241217</v>
      </c>
      <c r="Q10" s="75" t="n">
        <v>194.732701</v>
      </c>
      <c r="R10" s="76" t="n">
        <v>0.3</v>
      </c>
      <c r="S10" s="76" t="n">
        <v>11.24</v>
      </c>
      <c r="T10" s="77" t="n">
        <v>0</v>
      </c>
      <c r="U10" s="61" t="n">
        <v>0</v>
      </c>
      <c r="V10" s="96" t="inlineStr">
        <is>
          <t>Bearish</t>
        </is>
      </c>
      <c r="W10" s="97" t="inlineStr">
        <is>
          <t>Golden Cross</t>
        </is>
      </c>
    </row>
    <row r="11">
      <c r="A11" t="inlineStr">
        <is>
          <t>23.03.2026</t>
        </is>
      </c>
      <c r="B11" s="94" t="inlineStr">
        <is>
          <t>CAC 40</t>
        </is>
      </c>
      <c r="C11" t="inlineStr">
        <is>
          <t>^FCHI</t>
        </is>
      </c>
      <c r="D11" s="72" t="n">
        <v>7665.620117</v>
      </c>
      <c r="E11" s="72" t="n">
        <v>8137.332007</v>
      </c>
      <c r="F11" s="72" t="n">
        <v>8204.253613000001</v>
      </c>
      <c r="G11" s="72" t="n">
        <v>7994.735398</v>
      </c>
      <c r="H11" s="95" t="n">
        <v>21.23</v>
      </c>
      <c r="I11" t="inlineStr">
        <is>
          <t>Supravendut ▲</t>
        </is>
      </c>
      <c r="J11" s="74" t="n">
        <v>-129.23942</v>
      </c>
      <c r="K11" s="74" t="n">
        <v>-86.202671</v>
      </c>
      <c r="L11" s="74" t="n">
        <v>-43.036749</v>
      </c>
      <c r="M11" t="inlineStr">
        <is>
          <t>Negativ</t>
        </is>
      </c>
      <c r="N11" s="72" t="n">
        <v>8707.860219</v>
      </c>
      <c r="O11" s="72" t="n">
        <v>7566.803794</v>
      </c>
      <c r="P11" s="72" t="n">
        <v>1141.056425</v>
      </c>
      <c r="Q11" s="75" t="n">
        <v>709.226493</v>
      </c>
      <c r="R11" s="76" t="n">
        <v>92.38</v>
      </c>
      <c r="S11" s="76" t="n">
        <v>40.43</v>
      </c>
      <c r="T11" s="79" t="n">
        <v>0</v>
      </c>
      <c r="U11" s="61" t="n">
        <v>0</v>
      </c>
      <c r="V11" s="96" t="inlineStr">
        <is>
          <t>Bearish</t>
        </is>
      </c>
      <c r="W11" s="97" t="inlineStr">
        <is>
          <t>Golden Cross</t>
        </is>
      </c>
    </row>
    <row r="12">
      <c r="A12" t="inlineStr">
        <is>
          <t>23.03.2026</t>
        </is>
      </c>
      <c r="B12" s="94" t="inlineStr">
        <is>
          <t>Nikkei 225</t>
        </is>
      </c>
      <c r="C12" t="inlineStr">
        <is>
          <t>^N225</t>
        </is>
      </c>
      <c r="D12" s="72" t="n">
        <v>51187.230469</v>
      </c>
      <c r="E12" s="72" t="n">
        <v>55367.002344</v>
      </c>
      <c r="F12" s="72" t="n">
        <v>54755.580859</v>
      </c>
      <c r="G12" s="72" t="n">
        <v>47255.428496</v>
      </c>
      <c r="H12" s="98" t="n">
        <v>30.14</v>
      </c>
      <c r="I12" t="inlineStr">
        <is>
          <t>Slab</t>
        </is>
      </c>
      <c r="J12" s="74" t="n">
        <v>-624.8846</v>
      </c>
      <c r="K12" s="74" t="n">
        <v>-183.256559</v>
      </c>
      <c r="L12" s="74" t="n">
        <v>-441.62804</v>
      </c>
      <c r="M12" t="inlineStr">
        <is>
          <t>Negativ</t>
        </is>
      </c>
      <c r="N12" s="72" t="n">
        <v>59663.914002</v>
      </c>
      <c r="O12" s="72" t="n">
        <v>51070.090686</v>
      </c>
      <c r="P12" s="72" t="n">
        <v>8593.823316</v>
      </c>
      <c r="Q12" s="75" t="n">
        <v>1878.106306</v>
      </c>
      <c r="R12" s="76" t="n">
        <v>6.92</v>
      </c>
      <c r="S12" s="76" t="n">
        <v>28.71</v>
      </c>
      <c r="T12" s="79" t="n">
        <v>0</v>
      </c>
      <c r="U12" s="61" t="n">
        <v>0</v>
      </c>
      <c r="V12" s="96" t="inlineStr">
        <is>
          <t>Bearish</t>
        </is>
      </c>
      <c r="W12" s="97" t="inlineStr">
        <is>
          <t>Golden Cross</t>
        </is>
      </c>
    </row>
    <row r="13">
      <c r="A13" t="inlineStr">
        <is>
          <t>23.03.2026</t>
        </is>
      </c>
      <c r="B13" s="94" t="inlineStr">
        <is>
          <t>Hang Seng</t>
        </is>
      </c>
      <c r="C13" t="inlineStr">
        <is>
          <t>^HSI</t>
        </is>
      </c>
      <c r="D13" s="72" t="n">
        <v>25277.320312</v>
      </c>
      <c r="E13" s="72" t="n">
        <v>25928.04541</v>
      </c>
      <c r="F13" s="72" t="n">
        <v>26476.306133</v>
      </c>
      <c r="G13" s="72" t="n">
        <v>25694.665703</v>
      </c>
      <c r="H13" s="98" t="n">
        <v>40.27</v>
      </c>
      <c r="I13" t="inlineStr">
        <is>
          <t>Slab</t>
        </is>
      </c>
      <c r="J13" s="74" t="n">
        <v>-267.479726</v>
      </c>
      <c r="K13" s="74" t="n">
        <v>-251.457597</v>
      </c>
      <c r="L13" s="74" t="n">
        <v>-16.022129</v>
      </c>
      <c r="M13" t="inlineStr">
        <is>
          <t>Bearish Cross</t>
        </is>
      </c>
      <c r="N13" s="72" t="n">
        <v>26977.298505</v>
      </c>
      <c r="O13" s="72" t="n">
        <v>24878.792315</v>
      </c>
      <c r="P13" s="72" t="n">
        <v>2098.50619</v>
      </c>
      <c r="Q13" s="75" t="n">
        <v>505.86635</v>
      </c>
      <c r="R13" s="76" t="n">
        <v>27.63</v>
      </c>
      <c r="S13" s="76" t="n">
        <v>43.22</v>
      </c>
      <c r="T13" s="79" t="n">
        <v>0</v>
      </c>
      <c r="U13" s="61" t="n">
        <v>0</v>
      </c>
      <c r="V13" s="96" t="inlineStr">
        <is>
          <t>Bearish</t>
        </is>
      </c>
      <c r="W13" s="97" t="inlineStr">
        <is>
          <t>Golden Cross</t>
        </is>
      </c>
    </row>
    <row r="14">
      <c r="A14" t="inlineStr">
        <is>
          <t>23.03.2026</t>
        </is>
      </c>
      <c r="B14" s="94" t="inlineStr">
        <is>
          <t>Shanghai Comp.</t>
        </is>
      </c>
      <c r="C14" t="inlineStr">
        <is>
          <t>000001.SS</t>
        </is>
      </c>
      <c r="D14" s="72" t="n">
        <v>3957.052734</v>
      </c>
      <c r="E14" s="72" t="n">
        <v>4100.786609</v>
      </c>
      <c r="F14" s="72" t="n">
        <v>4103.462896</v>
      </c>
      <c r="G14" s="72" t="n">
        <v>3826.404923</v>
      </c>
      <c r="H14" s="95" t="n">
        <v>22.41</v>
      </c>
      <c r="I14" t="inlineStr">
        <is>
          <t>Supravendut ▲</t>
        </is>
      </c>
      <c r="J14" s="74" t="n">
        <v>-21.051402</v>
      </c>
      <c r="K14" s="74" t="n">
        <v>-2.877744</v>
      </c>
      <c r="L14" s="74" t="n">
        <v>-18.173658</v>
      </c>
      <c r="M14" t="inlineStr">
        <is>
          <t>Negativ</t>
        </is>
      </c>
      <c r="N14" s="72" t="n">
        <v>4206.49956</v>
      </c>
      <c r="O14" s="72" t="n">
        <v>3995.073658</v>
      </c>
      <c r="P14" s="72" t="n">
        <v>211.425902</v>
      </c>
      <c r="Q14" s="75" t="n">
        <v>51.998012</v>
      </c>
      <c r="R14" s="76" t="n">
        <v>0.5600000000000001</v>
      </c>
      <c r="S14" s="76" t="n">
        <v>9.859999999999999</v>
      </c>
      <c r="T14" s="79" t="n">
        <v>2255329260</v>
      </c>
      <c r="U14" s="61" t="n">
        <v>19.88</v>
      </c>
      <c r="V14" s="96" t="inlineStr">
        <is>
          <t>Bearish</t>
        </is>
      </c>
      <c r="W14" s="97" t="inlineStr">
        <is>
          <t>Golden Cross</t>
        </is>
      </c>
    </row>
    <row r="15">
      <c r="A15" t="inlineStr">
        <is>
          <t>23.03.2026</t>
        </is>
      </c>
      <c r="B15" s="94" t="inlineStr">
        <is>
          <t>MSCI World ETF</t>
        </is>
      </c>
      <c r="C15" t="inlineStr">
        <is>
          <t>URTH</t>
        </is>
      </c>
      <c r="D15" s="72" t="n">
        <v>178</v>
      </c>
      <c r="E15" s="72" t="n">
        <v>186.341499</v>
      </c>
      <c r="F15" s="72" t="n">
        <v>188.3026</v>
      </c>
      <c r="G15" s="72" t="n">
        <v>179.543896</v>
      </c>
      <c r="H15" s="95" t="n">
        <v>24.43</v>
      </c>
      <c r="I15" t="inlineStr">
        <is>
          <t>Supravendut ▲</t>
        </is>
      </c>
      <c r="J15" s="74" t="n">
        <v>-2.283334</v>
      </c>
      <c r="K15" s="74" t="n">
        <v>-1.472875</v>
      </c>
      <c r="L15" s="74" t="n">
        <v>-0.810459</v>
      </c>
      <c r="M15" t="inlineStr">
        <is>
          <t>Negativ</t>
        </is>
      </c>
      <c r="N15" s="72" t="n">
        <v>194.21035</v>
      </c>
      <c r="O15" s="72" t="n">
        <v>178.472649</v>
      </c>
      <c r="P15" s="72" t="n">
        <v>15.737701</v>
      </c>
      <c r="Q15" s="75" t="n">
        <v>3.181429</v>
      </c>
      <c r="R15" s="76" t="n">
        <v>7.69</v>
      </c>
      <c r="S15" s="76" t="n">
        <v>8.880000000000001</v>
      </c>
      <c r="T15" s="79" t="n">
        <v>425677</v>
      </c>
      <c r="U15" s="61" t="n">
        <v>0.79</v>
      </c>
      <c r="V15" s="96" t="inlineStr">
        <is>
          <t>Bearish</t>
        </is>
      </c>
      <c r="W15" s="97" t="inlineStr">
        <is>
          <t>Golden Cross</t>
        </is>
      </c>
    </row>
    <row r="16">
      <c r="A16" t="inlineStr">
        <is>
          <t>23.03.2026</t>
        </is>
      </c>
      <c r="B16" s="94" t="inlineStr">
        <is>
          <t>MSCI EM ETF</t>
        </is>
      </c>
      <c r="C16" t="inlineStr">
        <is>
          <t>EEM</t>
        </is>
      </c>
      <c r="D16" s="72" t="n">
        <v>55.639999</v>
      </c>
      <c r="E16" s="72" t="n">
        <v>59.2225</v>
      </c>
      <c r="F16" s="72" t="n">
        <v>59.3426</v>
      </c>
      <c r="G16" s="72" t="n">
        <v>53.195106</v>
      </c>
      <c r="H16" s="95" t="n">
        <v>29.31</v>
      </c>
      <c r="I16" t="inlineStr">
        <is>
          <t>Supravendut ▲</t>
        </is>
      </c>
      <c r="J16" s="74" t="n">
        <v>-0.778546</v>
      </c>
      <c r="K16" s="74" t="n">
        <v>-0.445034</v>
      </c>
      <c r="L16" s="74" t="n">
        <v>-0.333512</v>
      </c>
      <c r="M16" t="inlineStr">
        <is>
          <t>Negativ</t>
        </is>
      </c>
      <c r="N16" s="72" t="n">
        <v>63.828501</v>
      </c>
      <c r="O16" s="72" t="n">
        <v>54.6165</v>
      </c>
      <c r="P16" s="72" t="n">
        <v>9.212001000000001</v>
      </c>
      <c r="Q16" s="75" t="n">
        <v>1.782857</v>
      </c>
      <c r="R16" s="76" t="n">
        <v>4.5</v>
      </c>
      <c r="S16" s="76" t="n">
        <v>14.23</v>
      </c>
      <c r="T16" s="79" t="n">
        <v>72655437</v>
      </c>
      <c r="U16" s="61" t="n">
        <v>1.39</v>
      </c>
      <c r="V16" s="96" t="inlineStr">
        <is>
          <t>Bearish</t>
        </is>
      </c>
      <c r="W16" s="97" t="inlineStr">
        <is>
          <t>Golden Cross</t>
        </is>
      </c>
    </row>
    <row r="17">
      <c r="A17" t="inlineStr">
        <is>
          <t>23.03.2026</t>
        </is>
      </c>
      <c r="B17" s="94" t="inlineStr">
        <is>
          <t>BET Romania</t>
        </is>
      </c>
      <c r="C17" t="inlineStr">
        <is>
          <t>BET.RO</t>
        </is>
      </c>
    </row>
    <row r="18" ht="26" customHeight="1" s="113">
      <c r="A18" s="99" t="inlineStr">
        <is>
          <t>--- ACTIUNI &amp; ETF ---</t>
        </is>
      </c>
      <c r="B18" s="100" t="n"/>
      <c r="C18" s="100" t="n"/>
      <c r="D18" s="100" t="n"/>
      <c r="E18" s="100" t="n"/>
      <c r="F18" s="100" t="n"/>
      <c r="G18" s="100" t="n"/>
      <c r="H18" s="100" t="n"/>
      <c r="I18" s="100" t="n"/>
      <c r="J18" s="100" t="n"/>
      <c r="K18" s="100" t="n"/>
      <c r="L18" s="100" t="n"/>
      <c r="M18" s="100" t="n"/>
      <c r="N18" s="100" t="n"/>
      <c r="O18" s="100" t="n"/>
      <c r="P18" s="100" t="n"/>
      <c r="Q18" s="100" t="n"/>
      <c r="R18" s="100" t="n"/>
      <c r="S18" s="100" t="n"/>
      <c r="T18" s="100" t="n"/>
      <c r="U18" s="100" t="n"/>
      <c r="V18" s="100" t="n"/>
      <c r="W18" s="100" t="n"/>
    </row>
    <row r="19">
      <c r="A19" t="inlineStr">
        <is>
          <t>23.03.2026</t>
        </is>
      </c>
      <c r="B19" s="94" t="inlineStr">
        <is>
          <t>Apple</t>
        </is>
      </c>
      <c r="C19" t="inlineStr">
        <is>
          <t>AAPL</t>
        </is>
      </c>
      <c r="D19" s="72" t="n">
        <v>247.990005</v>
      </c>
      <c r="E19" s="72" t="n">
        <v>259.988</v>
      </c>
      <c r="F19" s="72" t="n">
        <v>261.027877</v>
      </c>
      <c r="G19" s="72" t="n">
        <v>246.451247</v>
      </c>
      <c r="H19" s="95" t="n">
        <v>23.6</v>
      </c>
      <c r="I19" t="inlineStr">
        <is>
          <t>Supravendut ▲</t>
        </is>
      </c>
      <c r="J19" s="74" t="n">
        <v>-4.183685</v>
      </c>
      <c r="K19" s="74" t="n">
        <v>-2.821722</v>
      </c>
      <c r="L19" s="74" t="n">
        <v>-1.361962</v>
      </c>
      <c r="M19" t="inlineStr">
        <is>
          <t>Negativ</t>
        </is>
      </c>
      <c r="N19" s="72" t="n">
        <v>275.826571</v>
      </c>
      <c r="O19" s="72" t="n">
        <v>244.14943</v>
      </c>
      <c r="P19" s="72" t="n">
        <v>31.677141</v>
      </c>
      <c r="Q19" s="75" t="n">
        <v>5.071421</v>
      </c>
      <c r="R19" s="76" t="n">
        <v>9.880000000000001</v>
      </c>
      <c r="S19" s="76" t="n">
        <v>7.49</v>
      </c>
      <c r="T19" s="79" t="n">
        <v>88331081</v>
      </c>
      <c r="U19" s="61" t="n">
        <v>2.13</v>
      </c>
      <c r="V19" s="96" t="inlineStr">
        <is>
          <t>Bearish</t>
        </is>
      </c>
      <c r="W19" s="97" t="inlineStr">
        <is>
          <t>Golden Cross</t>
        </is>
      </c>
    </row>
    <row r="20">
      <c r="A20" t="inlineStr">
        <is>
          <t>23.03.2026</t>
        </is>
      </c>
      <c r="B20" s="94" t="inlineStr">
        <is>
          <t>Microsoft</t>
        </is>
      </c>
      <c r="C20" t="inlineStr">
        <is>
          <t>MSFT</t>
        </is>
      </c>
      <c r="D20" s="72" t="n">
        <v>381.850006</v>
      </c>
      <c r="E20" s="72" t="n">
        <v>398.766499</v>
      </c>
      <c r="F20" s="72" t="n">
        <v>420.213271</v>
      </c>
      <c r="G20" s="72" t="n">
        <v>479.78768</v>
      </c>
      <c r="H20" s="98" t="n">
        <v>33.52</v>
      </c>
      <c r="I20" t="inlineStr">
        <is>
          <t>Slab</t>
        </is>
      </c>
      <c r="J20" s="74" t="n">
        <v>-7.37996</v>
      </c>
      <c r="K20" s="74" t="n">
        <v>-7.062252</v>
      </c>
      <c r="L20" s="74" t="n">
        <v>-0.317708</v>
      </c>
      <c r="M20" t="inlineStr">
        <is>
          <t>Bearish Cross</t>
        </is>
      </c>
      <c r="N20" s="72" t="n">
        <v>415.393983</v>
      </c>
      <c r="O20" s="72" t="n">
        <v>382.139016</v>
      </c>
      <c r="P20" s="72" t="n">
        <v>33.254966</v>
      </c>
      <c r="Q20" s="75" t="n">
        <v>7.720712</v>
      </c>
      <c r="R20" s="76" t="n">
        <v>5.25</v>
      </c>
      <c r="S20" s="76" t="n">
        <v>7.01</v>
      </c>
      <c r="T20" s="79" t="n">
        <v>50853154</v>
      </c>
      <c r="U20" s="61" t="n">
        <v>1.49</v>
      </c>
      <c r="V20" s="96" t="inlineStr">
        <is>
          <t>Bearish</t>
        </is>
      </c>
      <c r="W20" s="96" t="inlineStr">
        <is>
          <t>Death Cross</t>
        </is>
      </c>
    </row>
    <row r="21">
      <c r="A21" t="inlineStr">
        <is>
          <t>23.03.2026</t>
        </is>
      </c>
      <c r="B21" s="94" t="inlineStr">
        <is>
          <t>NVIDIA</t>
        </is>
      </c>
      <c r="C21" t="inlineStr">
        <is>
          <t>NVDA</t>
        </is>
      </c>
      <c r="D21" s="72" t="n">
        <v>172.929993</v>
      </c>
      <c r="E21" s="72" t="n">
        <v>183.126502</v>
      </c>
      <c r="F21" s="72" t="n">
        <v>184.596574</v>
      </c>
      <c r="G21" s="72" t="n">
        <v>178.418565</v>
      </c>
      <c r="H21" s="98" t="n">
        <v>37.61</v>
      </c>
      <c r="I21" t="inlineStr">
        <is>
          <t>Slab</t>
        </is>
      </c>
      <c r="J21" s="74" t="n">
        <v>-1.994203</v>
      </c>
      <c r="K21" s="74" t="n">
        <v>-1.166162</v>
      </c>
      <c r="L21" s="74" t="n">
        <v>-0.828041</v>
      </c>
      <c r="M21" t="inlineStr">
        <is>
          <t>Negativ</t>
        </is>
      </c>
      <c r="N21" s="72" t="n">
        <v>193.881742</v>
      </c>
      <c r="O21" s="72" t="n">
        <v>172.371262</v>
      </c>
      <c r="P21" s="72" t="n">
        <v>21.51048</v>
      </c>
      <c r="Q21" s="75" t="n">
        <v>5.366652</v>
      </c>
      <c r="R21" s="76" t="n">
        <v>7.02</v>
      </c>
      <c r="S21" s="76" t="n">
        <v>25.03</v>
      </c>
      <c r="T21" s="79" t="n">
        <v>241323528</v>
      </c>
      <c r="U21" s="61" t="n">
        <v>1.2</v>
      </c>
      <c r="V21" s="96" t="inlineStr">
        <is>
          <t>Bearish</t>
        </is>
      </c>
      <c r="W21" s="97" t="inlineStr">
        <is>
          <t>Golden Cross</t>
        </is>
      </c>
    </row>
    <row r="22">
      <c r="A22" t="inlineStr">
        <is>
          <t>23.03.2026</t>
        </is>
      </c>
      <c r="B22" s="94" t="inlineStr">
        <is>
          <t>Alphabet</t>
        </is>
      </c>
      <c r="C22" t="inlineStr">
        <is>
          <t>GOOGL</t>
        </is>
      </c>
      <c r="D22" s="72" t="n">
        <v>301</v>
      </c>
      <c r="E22" s="72" t="n">
        <v>306.256622</v>
      </c>
      <c r="F22" s="72" t="n">
        <v>317.798969</v>
      </c>
      <c r="G22" s="72" t="n">
        <v>259.550102</v>
      </c>
      <c r="H22" s="98" t="n">
        <v>43.88</v>
      </c>
      <c r="I22" t="inlineStr">
        <is>
          <t>Slab</t>
        </is>
      </c>
      <c r="J22" s="74" t="n">
        <v>-2.732068</v>
      </c>
      <c r="K22" s="74" t="n">
        <v>-3.322938</v>
      </c>
      <c r="L22" s="74" t="n">
        <v>0.590869</v>
      </c>
      <c r="M22" t="inlineStr">
        <is>
          <t>Pozitiv</t>
        </is>
      </c>
      <c r="N22" s="72" t="n">
        <v>314.348554</v>
      </c>
      <c r="O22" s="72" t="n">
        <v>298.16469</v>
      </c>
      <c r="P22" s="72" t="n">
        <v>16.183864</v>
      </c>
      <c r="Q22" s="75" t="n">
        <v>6.648717</v>
      </c>
      <c r="R22" s="76" t="n">
        <v>37.63</v>
      </c>
      <c r="S22" s="76" t="n">
        <v>60.87</v>
      </c>
      <c r="T22" s="79" t="n">
        <v>44364079</v>
      </c>
      <c r="U22" s="61" t="n">
        <v>1.51</v>
      </c>
      <c r="V22" s="96" t="inlineStr">
        <is>
          <t>Bearish</t>
        </is>
      </c>
      <c r="W22" s="97" t="inlineStr">
        <is>
          <t>Golden Cross</t>
        </is>
      </c>
    </row>
    <row r="23">
      <c r="A23" t="inlineStr">
        <is>
          <t>23.03.2026</t>
        </is>
      </c>
      <c r="B23" s="94" t="inlineStr">
        <is>
          <t>Amazon</t>
        </is>
      </c>
      <c r="C23" t="inlineStr">
        <is>
          <t>AMZN</t>
        </is>
      </c>
      <c r="D23" s="72" t="n">
        <v>205.369995</v>
      </c>
      <c r="E23" s="72" t="n">
        <v>210.8545</v>
      </c>
      <c r="F23" s="72" t="n">
        <v>220.8674</v>
      </c>
      <c r="G23" s="72" t="n">
        <v>224.81165</v>
      </c>
      <c r="H23" s="98" t="n">
        <v>46.35</v>
      </c>
      <c r="I23" t="inlineStr">
        <is>
          <t>Neutru</t>
        </is>
      </c>
      <c r="J23" s="74" t="n">
        <v>-2.291723</v>
      </c>
      <c r="K23" s="74" t="n">
        <v>-2.486622</v>
      </c>
      <c r="L23" s="74" t="n">
        <v>0.194899</v>
      </c>
      <c r="M23" t="inlineStr">
        <is>
          <t>Pozitiv</t>
        </is>
      </c>
      <c r="N23" s="72" t="n">
        <v>218.140893</v>
      </c>
      <c r="O23" s="72" t="n">
        <v>203.568107</v>
      </c>
      <c r="P23" s="72" t="n">
        <v>14.572787</v>
      </c>
      <c r="Q23" s="75" t="n">
        <v>5.363142</v>
      </c>
      <c r="R23" s="76" t="n">
        <v>16.06</v>
      </c>
      <c r="S23" s="76" t="n">
        <v>30.68</v>
      </c>
      <c r="T23" s="79" t="n">
        <v>63694603</v>
      </c>
      <c r="U23" s="61" t="n">
        <v>1.37</v>
      </c>
      <c r="V23" s="96" t="inlineStr">
        <is>
          <t>Bearish</t>
        </is>
      </c>
      <c r="W23" s="96" t="inlineStr">
        <is>
          <t>Death Cross</t>
        </is>
      </c>
    </row>
    <row r="24">
      <c r="A24" t="inlineStr">
        <is>
          <t>23.03.2026</t>
        </is>
      </c>
      <c r="B24" s="94" t="inlineStr">
        <is>
          <t>Meta</t>
        </is>
      </c>
      <c r="C24" t="inlineStr">
        <is>
          <t>META</t>
        </is>
      </c>
      <c r="D24" s="72" t="n">
        <v>593.659973</v>
      </c>
      <c r="E24" s="72" t="n">
        <v>639.1635219999999</v>
      </c>
      <c r="F24" s="72" t="n">
        <v>649.508606</v>
      </c>
      <c r="G24" s="72" t="n">
        <v>689.439135</v>
      </c>
      <c r="H24" s="95" t="n">
        <v>28.21</v>
      </c>
      <c r="I24" t="inlineStr">
        <is>
          <t>Supravendut ▲</t>
        </is>
      </c>
      <c r="J24" s="74" t="n">
        <v>-12.61765</v>
      </c>
      <c r="K24" s="74" t="n">
        <v>-7.450464</v>
      </c>
      <c r="L24" s="74" t="n">
        <v>-5.167186</v>
      </c>
      <c r="M24" t="inlineStr">
        <is>
          <t>Negativ</t>
        </is>
      </c>
      <c r="N24" s="72" t="n">
        <v>678.899612</v>
      </c>
      <c r="O24" s="72" t="n">
        <v>599.427433</v>
      </c>
      <c r="P24" s="72" t="n">
        <v>79.472178</v>
      </c>
      <c r="Q24" s="75" t="n">
        <v>17.938292</v>
      </c>
      <c r="R24" s="76" t="n">
        <v>7.52</v>
      </c>
      <c r="S24" s="76" t="n">
        <v>8.130000000000001</v>
      </c>
      <c r="T24" s="79" t="n">
        <v>21214898</v>
      </c>
      <c r="U24" s="61" t="n">
        <v>1.69</v>
      </c>
      <c r="V24" s="96" t="inlineStr">
        <is>
          <t>Bearish</t>
        </is>
      </c>
      <c r="W24" s="96" t="inlineStr">
        <is>
          <t>Death Cross</t>
        </is>
      </c>
    </row>
    <row r="25">
      <c r="A25" t="inlineStr">
        <is>
          <t>23.03.2026</t>
        </is>
      </c>
      <c r="B25" s="94" t="inlineStr">
        <is>
          <t>Tesla</t>
        </is>
      </c>
      <c r="C25" t="inlineStr">
        <is>
          <t>TSLA</t>
        </is>
      </c>
      <c r="D25" s="72" t="n">
        <v>367.959991</v>
      </c>
      <c r="E25" s="72" t="n">
        <v>398.474498</v>
      </c>
      <c r="F25" s="72" t="n">
        <v>415.285199</v>
      </c>
      <c r="G25" s="72" t="n">
        <v>394.38515</v>
      </c>
      <c r="H25" s="98" t="n">
        <v>32.44</v>
      </c>
      <c r="I25" t="inlineStr">
        <is>
          <t>Slab</t>
        </is>
      </c>
      <c r="J25" s="74" t="n">
        <v>-9.272589</v>
      </c>
      <c r="K25" s="74" t="n">
        <v>-7.447639</v>
      </c>
      <c r="L25" s="74" t="n">
        <v>-1.82495</v>
      </c>
      <c r="M25" t="inlineStr">
        <is>
          <t>Negativ</t>
        </is>
      </c>
      <c r="N25" s="72" t="n">
        <v>420.10339</v>
      </c>
      <c r="O25" s="72" t="n">
        <v>376.845606</v>
      </c>
      <c r="P25" s="72" t="n">
        <v>43.257784</v>
      </c>
      <c r="Q25" s="75" t="n">
        <v>13.12999</v>
      </c>
      <c r="R25" s="76" t="n">
        <v>6.74</v>
      </c>
      <c r="S25" s="76" t="n">
        <v>14.48</v>
      </c>
      <c r="T25" s="79" t="n">
        <v>78628603</v>
      </c>
      <c r="U25" s="61" t="n">
        <v>1.3</v>
      </c>
      <c r="V25" s="96" t="inlineStr">
        <is>
          <t>Bearish</t>
        </is>
      </c>
      <c r="W25" s="97" t="inlineStr">
        <is>
          <t>Golden Cross</t>
        </is>
      </c>
    </row>
    <row r="26">
      <c r="A26" t="inlineStr">
        <is>
          <t>23.03.2026</t>
        </is>
      </c>
      <c r="B26" s="94" t="inlineStr">
        <is>
          <t>AMD</t>
        </is>
      </c>
      <c r="C26" t="inlineStr">
        <is>
          <t>AMD</t>
        </is>
      </c>
      <c r="D26" s="72" t="n">
        <v>201.330002</v>
      </c>
      <c r="E26" s="72" t="n">
        <v>200.4765</v>
      </c>
      <c r="F26" s="72" t="n">
        <v>214.443</v>
      </c>
      <c r="G26" s="72" t="n">
        <v>192.96995</v>
      </c>
      <c r="H26" s="101" t="n">
        <v>51.97</v>
      </c>
      <c r="I26" t="inlineStr">
        <is>
          <t>Neutru</t>
        </is>
      </c>
      <c r="J26" s="74" t="n">
        <v>-3.336962</v>
      </c>
      <c r="K26" s="74" t="n">
        <v>-4.582189</v>
      </c>
      <c r="L26" s="74" t="n">
        <v>1.245227</v>
      </c>
      <c r="M26" t="inlineStr">
        <is>
          <t>Pozitiv</t>
        </is>
      </c>
      <c r="N26" s="72" t="n">
        <v>211.907572</v>
      </c>
      <c r="O26" s="72" t="n">
        <v>189.045428</v>
      </c>
      <c r="P26" s="72" t="n">
        <v>22.862144</v>
      </c>
      <c r="Q26" s="75" t="n">
        <v>8.550001</v>
      </c>
      <c r="R26" s="76" t="n">
        <v>62.46</v>
      </c>
      <c r="S26" s="76" t="n">
        <v>65.75</v>
      </c>
      <c r="T26" s="79" t="n">
        <v>32666718</v>
      </c>
      <c r="U26" s="61" t="n">
        <v>0.9399999999999999</v>
      </c>
      <c r="V26" s="96" t="inlineStr">
        <is>
          <t>Bearish</t>
        </is>
      </c>
      <c r="W26" s="97" t="inlineStr">
        <is>
          <t>Golden Cross</t>
        </is>
      </c>
    </row>
    <row r="27">
      <c r="A27" t="inlineStr">
        <is>
          <t>23.03.2026</t>
        </is>
      </c>
      <c r="B27" s="94" t="inlineStr">
        <is>
          <t>Intel</t>
        </is>
      </c>
      <c r="C27" t="inlineStr">
        <is>
          <t>INTC</t>
        </is>
      </c>
      <c r="D27" s="72" t="n">
        <v>43.869999</v>
      </c>
      <c r="E27" s="72" t="n">
        <v>45.3755</v>
      </c>
      <c r="F27" s="72" t="n">
        <v>46.5368</v>
      </c>
      <c r="G27" s="72" t="n">
        <v>34.18745</v>
      </c>
      <c r="H27" s="98" t="n">
        <v>46.25</v>
      </c>
      <c r="I27" t="inlineStr">
        <is>
          <t>Neutru</t>
        </is>
      </c>
      <c r="J27" s="74" t="n">
        <v>-0.22725</v>
      </c>
      <c r="K27" s="74" t="n">
        <v>-0.115931</v>
      </c>
      <c r="L27" s="74" t="n">
        <v>-0.111319</v>
      </c>
      <c r="M27" t="inlineStr">
        <is>
          <t>Negativ</t>
        </is>
      </c>
      <c r="N27" s="72" t="n">
        <v>47.854749</v>
      </c>
      <c r="O27" s="72" t="n">
        <v>42.896251</v>
      </c>
      <c r="P27" s="72" t="n">
        <v>4.958498</v>
      </c>
      <c r="Q27" s="75" t="n">
        <v>2.701286</v>
      </c>
      <c r="R27" s="76" t="n">
        <v>29.61</v>
      </c>
      <c r="S27" s="76" t="n">
        <v>44.98</v>
      </c>
      <c r="T27" s="79" t="n">
        <v>162814210</v>
      </c>
      <c r="U27" s="61" t="n">
        <v>1.93</v>
      </c>
      <c r="V27" s="96" t="inlineStr">
        <is>
          <t>Bearish</t>
        </is>
      </c>
      <c r="W27" s="97" t="inlineStr">
        <is>
          <t>Golden Cross</t>
        </is>
      </c>
    </row>
    <row r="28">
      <c r="A28" t="inlineStr">
        <is>
          <t>23.03.2026</t>
        </is>
      </c>
      <c r="B28" s="94" t="inlineStr">
        <is>
          <t>Broadcom</t>
        </is>
      </c>
      <c r="C28" t="inlineStr">
        <is>
          <t>AVGO</t>
        </is>
      </c>
      <c r="D28" s="72" t="n">
        <v>310.51001</v>
      </c>
      <c r="E28" s="72" t="n">
        <v>326.1685</v>
      </c>
      <c r="F28" s="72" t="n">
        <v>330.424</v>
      </c>
      <c r="G28" s="72" t="n">
        <v>324.530017</v>
      </c>
      <c r="H28" s="98" t="n">
        <v>45.39</v>
      </c>
      <c r="I28" t="inlineStr">
        <is>
          <t>Neutru</t>
        </is>
      </c>
      <c r="J28" s="74" t="n">
        <v>-3.529942</v>
      </c>
      <c r="K28" s="74" t="n">
        <v>-1.80645</v>
      </c>
      <c r="L28" s="74" t="n">
        <v>-1.723493</v>
      </c>
      <c r="M28" t="inlineStr">
        <is>
          <t>Negativ</t>
        </is>
      </c>
      <c r="N28" s="72" t="n">
        <v>346.060215</v>
      </c>
      <c r="O28" s="72" t="n">
        <v>306.276784</v>
      </c>
      <c r="P28" s="72" t="n">
        <v>39.783431</v>
      </c>
      <c r="Q28" s="75" t="n">
        <v>13.118578</v>
      </c>
      <c r="R28" s="76" t="n">
        <v>6.8</v>
      </c>
      <c r="S28" s="76" t="n">
        <v>17.77</v>
      </c>
      <c r="T28" s="79" t="n">
        <v>36782613</v>
      </c>
      <c r="U28" s="61" t="n">
        <v>1.23</v>
      </c>
      <c r="V28" s="96" t="inlineStr">
        <is>
          <t>Bearish</t>
        </is>
      </c>
      <c r="W28" s="97" t="inlineStr">
        <is>
          <t>Golden Cross</t>
        </is>
      </c>
    </row>
    <row r="29">
      <c r="A29" t="inlineStr">
        <is>
          <t>23.03.2026</t>
        </is>
      </c>
      <c r="B29" s="94" t="inlineStr">
        <is>
          <t>ASML</t>
        </is>
      </c>
      <c r="C29" t="inlineStr">
        <is>
          <t>ASML</t>
        </is>
      </c>
      <c r="D29" s="72" t="n">
        <v>1317.25</v>
      </c>
      <c r="E29" s="72" t="n">
        <v>1394.898517</v>
      </c>
      <c r="F29" s="72" t="n">
        <v>1386.399724</v>
      </c>
      <c r="G29" s="72" t="n">
        <v>1024.197596</v>
      </c>
      <c r="H29" s="98" t="n">
        <v>38.93</v>
      </c>
      <c r="I29" t="inlineStr">
        <is>
          <t>Slab</t>
        </is>
      </c>
      <c r="J29" s="74" t="n">
        <v>-11.50614</v>
      </c>
      <c r="K29" s="74" t="n">
        <v>-3.041618</v>
      </c>
      <c r="L29" s="74" t="n">
        <v>-8.464522000000001</v>
      </c>
      <c r="M29" t="inlineStr">
        <is>
          <t>Negativ</t>
        </is>
      </c>
      <c r="N29" s="72" t="n">
        <v>1517.934808</v>
      </c>
      <c r="O29" s="72" t="n">
        <v>1271.862226</v>
      </c>
      <c r="P29" s="72" t="n">
        <v>246.072582</v>
      </c>
      <c r="Q29" s="75" t="n">
        <v>56.734314</v>
      </c>
      <c r="R29" s="76" t="n">
        <v>31.3</v>
      </c>
      <c r="S29" s="76" t="n">
        <v>42.7</v>
      </c>
      <c r="T29" s="79" t="n">
        <v>2645128</v>
      </c>
      <c r="U29" s="61" t="n">
        <v>1.65</v>
      </c>
      <c r="V29" s="96" t="inlineStr">
        <is>
          <t>Bearish</t>
        </is>
      </c>
      <c r="W29" s="97" t="inlineStr">
        <is>
          <t>Golden Cross</t>
        </is>
      </c>
    </row>
    <row r="30">
      <c r="A30" t="inlineStr">
        <is>
          <t>23.03.2026</t>
        </is>
      </c>
      <c r="B30" s="94" t="inlineStr">
        <is>
          <t>Taiwan Semi</t>
        </is>
      </c>
      <c r="C30" t="inlineStr">
        <is>
          <t>TSM</t>
        </is>
      </c>
      <c r="D30" s="72" t="n">
        <v>329.23999</v>
      </c>
      <c r="E30" s="72" t="n">
        <v>353.520558</v>
      </c>
      <c r="F30" s="72" t="n">
        <v>346.439287</v>
      </c>
      <c r="G30" s="72" t="n">
        <v>283.178705</v>
      </c>
      <c r="H30" s="98" t="n">
        <v>31.02</v>
      </c>
      <c r="I30" t="inlineStr">
        <is>
          <t>Slab</t>
        </is>
      </c>
      <c r="J30" s="74" t="n">
        <v>-4.086946</v>
      </c>
      <c r="K30" s="74" t="n">
        <v>-0.899683</v>
      </c>
      <c r="L30" s="74" t="n">
        <v>-3.187263</v>
      </c>
      <c r="M30" t="inlineStr">
        <is>
          <t>Negativ</t>
        </is>
      </c>
      <c r="N30" s="72" t="n">
        <v>387.833231</v>
      </c>
      <c r="O30" s="72" t="n">
        <v>319.207885</v>
      </c>
      <c r="P30" s="72" t="n">
        <v>68.62534599999999</v>
      </c>
      <c r="Q30" s="75" t="n">
        <v>12.83423</v>
      </c>
      <c r="R30" s="76" t="n">
        <v>11.61</v>
      </c>
      <c r="S30" s="76" t="n">
        <v>19.95</v>
      </c>
      <c r="T30" s="79" t="n">
        <v>17273075</v>
      </c>
      <c r="U30" s="61" t="n">
        <v>1.25</v>
      </c>
      <c r="V30" s="96" t="inlineStr">
        <is>
          <t>Bearish</t>
        </is>
      </c>
      <c r="W30" s="97" t="inlineStr">
        <is>
          <t>Golden Cross</t>
        </is>
      </c>
    </row>
    <row r="31">
      <c r="A31" t="inlineStr">
        <is>
          <t>23.03.2026</t>
        </is>
      </c>
      <c r="B31" s="94" t="inlineStr">
        <is>
          <t>Palantir</t>
        </is>
      </c>
      <c r="C31" t="inlineStr">
        <is>
          <t>PLTR</t>
        </is>
      </c>
      <c r="D31" s="72" t="n">
        <v>150.679993</v>
      </c>
      <c r="E31" s="72" t="n">
        <v>147.636</v>
      </c>
      <c r="F31" s="72" t="n">
        <v>151.5692</v>
      </c>
      <c r="G31" s="72" t="n">
        <v>163.429425</v>
      </c>
      <c r="H31" s="101" t="n">
        <v>57.19</v>
      </c>
      <c r="I31" t="inlineStr">
        <is>
          <t>Puternic</t>
        </is>
      </c>
      <c r="J31" s="74" t="n">
        <v>1.740084</v>
      </c>
      <c r="K31" s="74" t="n">
        <v>0.796803</v>
      </c>
      <c r="L31" s="74" t="n">
        <v>0.943281</v>
      </c>
      <c r="M31" t="inlineStr">
        <is>
          <t>Pozitiv</t>
        </is>
      </c>
      <c r="N31" s="72" t="n">
        <v>165.733156</v>
      </c>
      <c r="O31" s="72" t="n">
        <v>129.538844</v>
      </c>
      <c r="P31" s="72" t="n">
        <v>36.194312</v>
      </c>
      <c r="Q31" s="75" t="n">
        <v>6.144003</v>
      </c>
      <c r="R31" s="76" t="n">
        <v>53.68</v>
      </c>
      <c r="S31" s="76" t="n">
        <v>65.75</v>
      </c>
      <c r="T31" s="79" t="n">
        <v>48700189</v>
      </c>
      <c r="U31" s="61" t="n">
        <v>0.98</v>
      </c>
      <c r="V31" s="102" t="inlineStr">
        <is>
          <t>Sideways</t>
        </is>
      </c>
      <c r="W31" s="96" t="inlineStr">
        <is>
          <t>Death Cross</t>
        </is>
      </c>
    </row>
    <row r="32">
      <c r="A32" t="inlineStr">
        <is>
          <t>23.03.2026</t>
        </is>
      </c>
      <c r="B32" s="94" t="inlineStr">
        <is>
          <t>Salesforce</t>
        </is>
      </c>
      <c r="C32" t="inlineStr">
        <is>
          <t>CRM</t>
        </is>
      </c>
      <c r="D32" s="72" t="n">
        <v>195.380005</v>
      </c>
      <c r="E32" s="72" t="n">
        <v>194.6735</v>
      </c>
      <c r="F32" s="72" t="n">
        <v>206.0554</v>
      </c>
      <c r="G32" s="72" t="n">
        <v>240.489895</v>
      </c>
      <c r="H32" s="101" t="n">
        <v>52.69</v>
      </c>
      <c r="I32" t="inlineStr">
        <is>
          <t>Neutru</t>
        </is>
      </c>
      <c r="J32" s="74" t="n">
        <v>-2.141688</v>
      </c>
      <c r="K32" s="74" t="n">
        <v>-3.217665</v>
      </c>
      <c r="L32" s="74" t="n">
        <v>1.075977</v>
      </c>
      <c r="M32" t="inlineStr">
        <is>
          <t>Pozitiv</t>
        </is>
      </c>
      <c r="N32" s="72" t="n">
        <v>205.474875</v>
      </c>
      <c r="O32" s="72" t="n">
        <v>183.872125</v>
      </c>
      <c r="P32" s="72" t="n">
        <v>21.60275</v>
      </c>
      <c r="Q32" s="75" t="n">
        <v>7.59928</v>
      </c>
      <c r="R32" s="76" t="n">
        <v>37.96</v>
      </c>
      <c r="S32" s="76" t="n">
        <v>34.84</v>
      </c>
      <c r="T32" s="79" t="n">
        <v>11636617</v>
      </c>
      <c r="U32" s="61" t="n">
        <v>0.8100000000000001</v>
      </c>
      <c r="V32" s="96" t="inlineStr">
        <is>
          <t>Bearish</t>
        </is>
      </c>
      <c r="W32" s="96" t="inlineStr">
        <is>
          <t>Death Cross</t>
        </is>
      </c>
    </row>
    <row r="33">
      <c r="A33" t="inlineStr">
        <is>
          <t>23.03.2026</t>
        </is>
      </c>
      <c r="B33" s="94" t="inlineStr">
        <is>
          <t>Oracle</t>
        </is>
      </c>
      <c r="C33" t="inlineStr">
        <is>
          <t>ORCL</t>
        </is>
      </c>
      <c r="D33" s="72" t="n">
        <v>149.679993</v>
      </c>
      <c r="E33" s="72" t="n">
        <v>151.826998</v>
      </c>
      <c r="F33" s="72" t="n">
        <v>162.486399</v>
      </c>
      <c r="G33" s="72" t="n">
        <v>219.312266</v>
      </c>
      <c r="H33" s="101" t="n">
        <v>50.47</v>
      </c>
      <c r="I33" t="inlineStr">
        <is>
          <t>Neutru</t>
        </is>
      </c>
      <c r="J33" s="74" t="n">
        <v>-1.801688</v>
      </c>
      <c r="K33" s="74" t="n">
        <v>-2.625406</v>
      </c>
      <c r="L33" s="74" t="n">
        <v>0.823718</v>
      </c>
      <c r="M33" t="inlineStr">
        <is>
          <t>Pozitiv</t>
        </is>
      </c>
      <c r="N33" s="72" t="n">
        <v>161.772071</v>
      </c>
      <c r="O33" s="72" t="n">
        <v>141.881926</v>
      </c>
      <c r="P33" s="72" t="n">
        <v>19.890145</v>
      </c>
      <c r="Q33" s="75" t="n">
        <v>7.601433</v>
      </c>
      <c r="R33" s="76" t="n">
        <v>23.09</v>
      </c>
      <c r="S33" s="76" t="n">
        <v>36.1</v>
      </c>
      <c r="T33" s="79" t="n">
        <v>36483176</v>
      </c>
      <c r="U33" s="61" t="n">
        <v>1.19</v>
      </c>
      <c r="V33" s="96" t="inlineStr">
        <is>
          <t>Bearish</t>
        </is>
      </c>
      <c r="W33" s="96" t="inlineStr">
        <is>
          <t>Death Cross</t>
        </is>
      </c>
    </row>
    <row r="34">
      <c r="A34" t="inlineStr">
        <is>
          <t>23.03.2026</t>
        </is>
      </c>
      <c r="B34" s="94" t="inlineStr">
        <is>
          <t>JPMorgan</t>
        </is>
      </c>
      <c r="C34" t="inlineStr">
        <is>
          <t>JPM</t>
        </is>
      </c>
      <c r="D34" s="72" t="n">
        <v>286.559998</v>
      </c>
      <c r="E34" s="72" t="n">
        <v>292.638002</v>
      </c>
      <c r="F34" s="72" t="n">
        <v>303.225002</v>
      </c>
      <c r="G34" s="72" t="n">
        <v>299.563424</v>
      </c>
      <c r="H34" s="95" t="n">
        <v>29.96</v>
      </c>
      <c r="I34" t="inlineStr">
        <is>
          <t>Supravendut ▲</t>
        </is>
      </c>
      <c r="J34" s="74" t="n">
        <v>-5.518309</v>
      </c>
      <c r="K34" s="74" t="n">
        <v>-5.556635</v>
      </c>
      <c r="L34" s="74" t="n">
        <v>0.038325</v>
      </c>
      <c r="M34" t="inlineStr">
        <is>
          <t>Bullish Cross</t>
        </is>
      </c>
      <c r="N34" s="72" t="n">
        <v>306.603341</v>
      </c>
      <c r="O34" s="72" t="n">
        <v>278.672663</v>
      </c>
      <c r="P34" s="72" t="n">
        <v>27.930678</v>
      </c>
      <c r="Q34" s="75" t="n">
        <v>6.961428</v>
      </c>
      <c r="R34" s="76" t="n">
        <v>32.03</v>
      </c>
      <c r="S34" s="76" t="n">
        <v>35.45</v>
      </c>
      <c r="T34" s="79" t="n">
        <v>22305760</v>
      </c>
      <c r="U34" s="61" t="n">
        <v>1.97</v>
      </c>
      <c r="V34" s="96" t="inlineStr">
        <is>
          <t>Bearish</t>
        </is>
      </c>
      <c r="W34" s="97" t="inlineStr">
        <is>
          <t>Golden Cross</t>
        </is>
      </c>
    </row>
    <row r="35">
      <c r="A35" t="inlineStr">
        <is>
          <t>23.03.2026</t>
        </is>
      </c>
      <c r="B35" s="94" t="inlineStr">
        <is>
          <t>Goldman Sachs</t>
        </is>
      </c>
      <c r="C35" t="inlineStr">
        <is>
          <t>GS</t>
        </is>
      </c>
      <c r="D35" s="72" t="n">
        <v>813.530029</v>
      </c>
      <c r="E35" s="72" t="n">
        <v>840.9504030000001</v>
      </c>
      <c r="F35" s="72" t="n">
        <v>894.029393</v>
      </c>
      <c r="G35" s="72" t="n">
        <v>791.664359</v>
      </c>
      <c r="H35" s="98" t="n">
        <v>33.92</v>
      </c>
      <c r="I35" t="inlineStr">
        <is>
          <t>Slab</t>
        </is>
      </c>
      <c r="J35" s="74" t="n">
        <v>-27.217503</v>
      </c>
      <c r="K35" s="74" t="n">
        <v>-26.479998</v>
      </c>
      <c r="L35" s="74" t="n">
        <v>-0.737505</v>
      </c>
      <c r="M35" t="inlineStr">
        <is>
          <t>Negativ</t>
        </is>
      </c>
      <c r="N35" s="72" t="n">
        <v>924.595136</v>
      </c>
      <c r="O35" s="72" t="n">
        <v>757.30567</v>
      </c>
      <c r="P35" s="72" t="n">
        <v>167.289466</v>
      </c>
      <c r="Q35" s="75" t="n">
        <v>28.252393</v>
      </c>
      <c r="R35" s="76" t="n">
        <v>33.6</v>
      </c>
      <c r="S35" s="76" t="n">
        <v>27.39</v>
      </c>
      <c r="T35" s="79" t="n">
        <v>2883596</v>
      </c>
      <c r="U35" s="61" t="n">
        <v>1.11</v>
      </c>
      <c r="V35" s="96" t="inlineStr">
        <is>
          <t>Bearish</t>
        </is>
      </c>
      <c r="W35" s="97" t="inlineStr">
        <is>
          <t>Golden Cross</t>
        </is>
      </c>
    </row>
    <row r="36">
      <c r="A36" t="inlineStr">
        <is>
          <t>23.03.2026</t>
        </is>
      </c>
      <c r="B36" s="94" t="inlineStr">
        <is>
          <t>Berkshire B</t>
        </is>
      </c>
      <c r="C36" t="inlineStr">
        <is>
          <t>BRK-B</t>
        </is>
      </c>
      <c r="D36" s="72" t="n">
        <v>480.940002</v>
      </c>
      <c r="E36" s="72" t="n">
        <v>491.855504</v>
      </c>
      <c r="F36" s="72" t="n">
        <v>492.420001</v>
      </c>
      <c r="G36" s="72" t="n">
        <v>491.22095</v>
      </c>
      <c r="H36" s="101" t="n">
        <v>50.86</v>
      </c>
      <c r="I36" t="inlineStr">
        <is>
          <t>Neutru</t>
        </is>
      </c>
      <c r="J36" s="74" t="n">
        <v>-2.677051</v>
      </c>
      <c r="K36" s="74" t="n">
        <v>-1.226435</v>
      </c>
      <c r="L36" s="74" t="n">
        <v>-1.450617</v>
      </c>
      <c r="M36" t="inlineStr">
        <is>
          <t>Negativ</t>
        </is>
      </c>
      <c r="N36" s="72" t="n">
        <v>506.485572</v>
      </c>
      <c r="O36" s="72" t="n">
        <v>477.225436</v>
      </c>
      <c r="P36" s="72" t="n">
        <v>29.260136</v>
      </c>
      <c r="Q36" s="75" t="n">
        <v>7.411434</v>
      </c>
      <c r="R36" s="76" t="n">
        <v>29.71</v>
      </c>
      <c r="S36" s="76" t="n">
        <v>32.16</v>
      </c>
      <c r="T36" s="79" t="n">
        <v>7770997</v>
      </c>
      <c r="U36" s="61" t="n">
        <v>1.5</v>
      </c>
      <c r="V36" s="96" t="inlineStr">
        <is>
          <t>Bearish</t>
        </is>
      </c>
      <c r="W36" s="97" t="inlineStr">
        <is>
          <t>Golden Cross</t>
        </is>
      </c>
    </row>
    <row r="37">
      <c r="A37" t="inlineStr">
        <is>
          <t>23.03.2026</t>
        </is>
      </c>
      <c r="B37" s="94" t="inlineStr">
        <is>
          <t>Visa</t>
        </is>
      </c>
      <c r="C37" t="inlineStr">
        <is>
          <t>V</t>
        </is>
      </c>
      <c r="D37" s="72" t="n">
        <v>301.619995</v>
      </c>
      <c r="E37" s="72" t="n">
        <v>311.722997</v>
      </c>
      <c r="F37" s="72" t="n">
        <v>321.402967</v>
      </c>
      <c r="G37" s="72" t="n">
        <v>338.246401</v>
      </c>
      <c r="H37" s="95" t="n">
        <v>20.44</v>
      </c>
      <c r="I37" t="inlineStr">
        <is>
          <t>Supravendut ▲</t>
        </is>
      </c>
      <c r="J37" s="74" t="n">
        <v>-5.733073</v>
      </c>
      <c r="K37" s="74" t="n">
        <v>-4.720726</v>
      </c>
      <c r="L37" s="74" t="n">
        <v>-1.012346</v>
      </c>
      <c r="M37" t="inlineStr">
        <is>
          <t>Negativ</t>
        </is>
      </c>
      <c r="N37" s="72" t="n">
        <v>326.09053</v>
      </c>
      <c r="O37" s="72" t="n">
        <v>297.355463</v>
      </c>
      <c r="P37" s="72" t="n">
        <v>28.735067</v>
      </c>
      <c r="Q37" s="75" t="n">
        <v>6.159991</v>
      </c>
      <c r="R37" s="76" t="n">
        <v>15.97</v>
      </c>
      <c r="S37" s="76" t="n">
        <v>9.07</v>
      </c>
      <c r="T37" s="79" t="n">
        <v>13993610</v>
      </c>
      <c r="U37" s="61" t="n">
        <v>1.79</v>
      </c>
      <c r="V37" s="96" t="inlineStr">
        <is>
          <t>Bearish</t>
        </is>
      </c>
      <c r="W37" s="96" t="inlineStr">
        <is>
          <t>Death Cross</t>
        </is>
      </c>
    </row>
    <row r="38">
      <c r="A38" t="inlineStr">
        <is>
          <t>23.03.2026</t>
        </is>
      </c>
      <c r="B38" s="94" t="inlineStr">
        <is>
          <t>Mastercard</t>
        </is>
      </c>
      <c r="C38" t="inlineStr">
        <is>
          <t>MA</t>
        </is>
      </c>
      <c r="D38" s="72" t="n">
        <v>496.320007</v>
      </c>
      <c r="E38" s="72" t="n">
        <v>508.669499</v>
      </c>
      <c r="F38" s="72" t="n">
        <v>527.054998</v>
      </c>
      <c r="G38" s="72" t="n">
        <v>555.789609</v>
      </c>
      <c r="H38" s="98" t="n">
        <v>33.07</v>
      </c>
      <c r="I38" t="inlineStr">
        <is>
          <t>Slab</t>
        </is>
      </c>
      <c r="J38" s="74" t="n">
        <v>-9.338104</v>
      </c>
      <c r="K38" s="74" t="n">
        <v>-8.172591000000001</v>
      </c>
      <c r="L38" s="74" t="n">
        <v>-1.165513</v>
      </c>
      <c r="M38" t="inlineStr">
        <is>
          <t>Negativ</t>
        </is>
      </c>
      <c r="N38" s="72" t="n">
        <v>532.43381</v>
      </c>
      <c r="O38" s="72" t="n">
        <v>484.905189</v>
      </c>
      <c r="P38" s="72" t="n">
        <v>47.528621</v>
      </c>
      <c r="Q38" s="75" t="n">
        <v>10.881422</v>
      </c>
      <c r="R38" s="76" t="n">
        <v>22.82</v>
      </c>
      <c r="S38" s="76" t="n">
        <v>11.31</v>
      </c>
      <c r="T38" s="79" t="n">
        <v>5756518</v>
      </c>
      <c r="U38" s="61" t="n">
        <v>1.49</v>
      </c>
      <c r="V38" s="96" t="inlineStr">
        <is>
          <t>Bearish</t>
        </is>
      </c>
      <c r="W38" s="96" t="inlineStr">
        <is>
          <t>Death Cross</t>
        </is>
      </c>
    </row>
    <row r="39">
      <c r="A39" t="inlineStr">
        <is>
          <t>23.03.2026</t>
        </is>
      </c>
      <c r="B39" s="94" t="inlineStr">
        <is>
          <t>ExxonMobil</t>
        </is>
      </c>
      <c r="C39" t="inlineStr">
        <is>
          <t>XOM</t>
        </is>
      </c>
      <c r="D39" s="72" t="n">
        <v>159.669998</v>
      </c>
      <c r="E39" s="72" t="n">
        <v>152.960999</v>
      </c>
      <c r="F39" s="72" t="n">
        <v>144.505345</v>
      </c>
      <c r="G39" s="72" t="n">
        <v>119.700803</v>
      </c>
      <c r="H39" s="101" t="n">
        <v>61.93</v>
      </c>
      <c r="I39" t="inlineStr">
        <is>
          <t>Puternic</t>
        </is>
      </c>
      <c r="J39" s="74" t="n">
        <v>3.868865</v>
      </c>
      <c r="K39" s="74" t="n">
        <v>3.650743</v>
      </c>
      <c r="L39" s="74" t="n">
        <v>0.218122</v>
      </c>
      <c r="M39" t="inlineStr">
        <is>
          <t>Pozitiv</t>
        </is>
      </c>
      <c r="N39" s="72" t="n">
        <v>160.387341</v>
      </c>
      <c r="O39" s="72" t="n">
        <v>145.534658</v>
      </c>
      <c r="P39" s="72" t="n">
        <v>14.852683</v>
      </c>
      <c r="Q39" s="75" t="n">
        <v>3.812856</v>
      </c>
      <c r="R39" s="76" t="n">
        <v>81.26000000000001</v>
      </c>
      <c r="S39" s="76" t="n">
        <v>80.33</v>
      </c>
      <c r="T39" s="79" t="n">
        <v>27751863</v>
      </c>
      <c r="U39" s="61" t="n">
        <v>1.27</v>
      </c>
      <c r="V39" s="97" t="inlineStr">
        <is>
          <t>Bullish</t>
        </is>
      </c>
      <c r="W39" s="97" t="inlineStr">
        <is>
          <t>Golden Cross</t>
        </is>
      </c>
    </row>
    <row r="40">
      <c r="A40" t="inlineStr">
        <is>
          <t>23.03.2026</t>
        </is>
      </c>
      <c r="B40" s="94" t="inlineStr">
        <is>
          <t>Chevron</t>
        </is>
      </c>
      <c r="C40" t="inlineStr">
        <is>
          <t>CVX</t>
        </is>
      </c>
      <c r="D40" s="72" t="n">
        <v>201.729996</v>
      </c>
      <c r="E40" s="72" t="n">
        <v>191.3765</v>
      </c>
      <c r="F40" s="72" t="n">
        <v>179.89409</v>
      </c>
      <c r="G40" s="72" t="n">
        <v>156.888794</v>
      </c>
      <c r="H40" s="103" t="n">
        <v>72.56999999999999</v>
      </c>
      <c r="I40" t="inlineStr">
        <is>
          <t>Supravandut ▼</t>
        </is>
      </c>
      <c r="J40" s="74" t="n">
        <v>5.951281</v>
      </c>
      <c r="K40" s="74" t="n">
        <v>5.453652</v>
      </c>
      <c r="L40" s="74" t="n">
        <v>0.497629</v>
      </c>
      <c r="M40" t="inlineStr">
        <is>
          <t>Pozitiv</t>
        </is>
      </c>
      <c r="N40" s="72" t="n">
        <v>203.257204</v>
      </c>
      <c r="O40" s="72" t="n">
        <v>179.495796</v>
      </c>
      <c r="P40" s="72" t="n">
        <v>23.761409</v>
      </c>
      <c r="Q40" s="75" t="n">
        <v>4.071072</v>
      </c>
      <c r="R40" s="76" t="n">
        <v>84.01000000000001</v>
      </c>
      <c r="S40" s="76" t="n">
        <v>88.68000000000001</v>
      </c>
      <c r="T40" s="79" t="n">
        <v>35212344</v>
      </c>
      <c r="U40" s="61" t="n">
        <v>2.49</v>
      </c>
      <c r="V40" s="97" t="inlineStr">
        <is>
          <t>Bullish</t>
        </is>
      </c>
      <c r="W40" s="97" t="inlineStr">
        <is>
          <t>Golden Cross</t>
        </is>
      </c>
    </row>
    <row r="41">
      <c r="A41" t="inlineStr">
        <is>
          <t>23.03.2026</t>
        </is>
      </c>
      <c r="B41" s="94" t="inlineStr">
        <is>
          <t>Shell</t>
        </is>
      </c>
      <c r="C41" t="inlineStr">
        <is>
          <t>SHEL</t>
        </is>
      </c>
      <c r="D41" s="72" t="n">
        <v>90.44000200000001</v>
      </c>
      <c r="E41" s="72" t="n">
        <v>85.8665</v>
      </c>
      <c r="F41" s="72" t="n">
        <v>79.40138399999999</v>
      </c>
      <c r="G41" s="72" t="n">
        <v>73.213188</v>
      </c>
      <c r="H41" s="101" t="n">
        <v>69.95999999999999</v>
      </c>
      <c r="I41" t="inlineStr">
        <is>
          <t>Puternic</t>
        </is>
      </c>
      <c r="J41" s="74" t="n">
        <v>3.543056</v>
      </c>
      <c r="K41" s="74" t="n">
        <v>3.18362</v>
      </c>
      <c r="L41" s="74" t="n">
        <v>0.359436</v>
      </c>
      <c r="M41" t="inlineStr">
        <is>
          <t>Pozitiv</t>
        </is>
      </c>
      <c r="N41" s="72" t="n">
        <v>93.98772599999999</v>
      </c>
      <c r="O41" s="72" t="n">
        <v>77.74527500000001</v>
      </c>
      <c r="P41" s="72" t="n">
        <v>16.242451</v>
      </c>
      <c r="Q41" s="75" t="n">
        <v>1.843215</v>
      </c>
      <c r="R41" s="76" t="n">
        <v>77.98999999999999</v>
      </c>
      <c r="S41" s="76" t="n">
        <v>86.94</v>
      </c>
      <c r="T41" s="79" t="n">
        <v>10783298</v>
      </c>
      <c r="U41" s="61" t="n">
        <v>1.59</v>
      </c>
      <c r="V41" s="97" t="inlineStr">
        <is>
          <t>Bullish</t>
        </is>
      </c>
      <c r="W41" s="97" t="inlineStr">
        <is>
          <t>Golden Cross</t>
        </is>
      </c>
    </row>
    <row r="42">
      <c r="A42" t="inlineStr">
        <is>
          <t>23.03.2026</t>
        </is>
      </c>
      <c r="B42" s="94" t="inlineStr">
        <is>
          <t>Caterpillar</t>
        </is>
      </c>
      <c r="C42" t="inlineStr">
        <is>
          <t>CAT</t>
        </is>
      </c>
      <c r="D42" s="72" t="n">
        <v>680.880005</v>
      </c>
      <c r="E42" s="72" t="n">
        <v>718.461002</v>
      </c>
      <c r="F42" s="72" t="n">
        <v>697.859827</v>
      </c>
      <c r="G42" s="72" t="n">
        <v>532.247756</v>
      </c>
      <c r="H42" s="98" t="n">
        <v>30</v>
      </c>
      <c r="I42" t="inlineStr">
        <is>
          <t>Supravendut ▲</t>
        </is>
      </c>
      <c r="J42" s="74" t="n">
        <v>-6.01688</v>
      </c>
      <c r="K42" s="74" t="n">
        <v>0.464373</v>
      </c>
      <c r="L42" s="74" t="n">
        <v>-6.481253</v>
      </c>
      <c r="M42" t="inlineStr">
        <is>
          <t>Negativ</t>
        </is>
      </c>
      <c r="N42" s="72" t="n">
        <v>775.932091</v>
      </c>
      <c r="O42" s="72" t="n">
        <v>660.989912</v>
      </c>
      <c r="P42" s="72" t="n">
        <v>114.94218</v>
      </c>
      <c r="Q42" s="75" t="n">
        <v>26.610718</v>
      </c>
      <c r="R42" s="76" t="n">
        <v>21.68</v>
      </c>
      <c r="S42" s="76" t="n">
        <v>27.53</v>
      </c>
      <c r="T42" s="79" t="n">
        <v>4955787</v>
      </c>
      <c r="U42" s="61" t="n">
        <v>1.74</v>
      </c>
      <c r="V42" s="96" t="inlineStr">
        <is>
          <t>Bearish</t>
        </is>
      </c>
      <c r="W42" s="97" t="inlineStr">
        <is>
          <t>Golden Cross</t>
        </is>
      </c>
    </row>
    <row r="43">
      <c r="A43" t="inlineStr">
        <is>
          <t>23.03.2026</t>
        </is>
      </c>
      <c r="B43" s="94" t="inlineStr">
        <is>
          <t>Boeing</t>
        </is>
      </c>
      <c r="C43" t="inlineStr">
        <is>
          <t>BA</t>
        </is>
      </c>
      <c r="D43" s="72" t="n">
        <v>195.119995</v>
      </c>
      <c r="E43" s="72" t="n">
        <v>219.178</v>
      </c>
      <c r="F43" s="72" t="n">
        <v>232.1902</v>
      </c>
      <c r="G43" s="72" t="n">
        <v>219.12535</v>
      </c>
      <c r="H43" s="95" t="n">
        <v>27.38</v>
      </c>
      <c r="I43" t="inlineStr">
        <is>
          <t>Supravendut ▲</t>
        </is>
      </c>
      <c r="J43" s="74" t="n">
        <v>-8.470243</v>
      </c>
      <c r="K43" s="74" t="n">
        <v>-6.1338</v>
      </c>
      <c r="L43" s="74" t="n">
        <v>-2.336443</v>
      </c>
      <c r="M43" t="inlineStr">
        <is>
          <t>Negativ</t>
        </is>
      </c>
      <c r="N43" s="72" t="n">
        <v>242.19288</v>
      </c>
      <c r="O43" s="72" t="n">
        <v>196.16312</v>
      </c>
      <c r="P43" s="72" t="n">
        <v>46.029761</v>
      </c>
      <c r="Q43" s="75" t="n">
        <v>8.358573</v>
      </c>
      <c r="R43" s="76" t="n">
        <v>6.52</v>
      </c>
      <c r="S43" s="76" t="n">
        <v>7.8</v>
      </c>
      <c r="T43" s="79" t="n">
        <v>12845166</v>
      </c>
      <c r="U43" s="61" t="n">
        <v>1.74</v>
      </c>
      <c r="V43" s="96" t="inlineStr">
        <is>
          <t>Bearish</t>
        </is>
      </c>
      <c r="W43" s="97" t="inlineStr">
        <is>
          <t>Golden Cross</t>
        </is>
      </c>
    </row>
    <row r="44">
      <c r="A44" t="inlineStr">
        <is>
          <t>23.03.2026</t>
        </is>
      </c>
      <c r="B44" s="94" t="inlineStr">
        <is>
          <t>SPY</t>
        </is>
      </c>
      <c r="C44" t="inlineStr">
        <is>
          <t>SPY</t>
        </is>
      </c>
      <c r="D44" s="72" t="n">
        <v>648.570007</v>
      </c>
      <c r="E44" s="72" t="n">
        <v>673.921078</v>
      </c>
      <c r="F44" s="72" t="n">
        <v>682.063497</v>
      </c>
      <c r="G44" s="72" t="n">
        <v>656.521337</v>
      </c>
      <c r="H44" s="95" t="n">
        <v>25.79</v>
      </c>
      <c r="I44" t="inlineStr">
        <is>
          <t>Supravendut ▲</t>
        </is>
      </c>
      <c r="J44" s="74" t="n">
        <v>-7.358515</v>
      </c>
      <c r="K44" s="74" t="n">
        <v>-4.978531</v>
      </c>
      <c r="L44" s="74" t="n">
        <v>-2.379983</v>
      </c>
      <c r="M44" t="inlineStr">
        <is>
          <t>Negativ</t>
        </is>
      </c>
      <c r="N44" s="72" t="n">
        <v>696.766855</v>
      </c>
      <c r="O44" s="72" t="n">
        <v>651.075302</v>
      </c>
      <c r="P44" s="72" t="n">
        <v>45.691554</v>
      </c>
      <c r="Q44" s="75" t="n">
        <v>10.392286</v>
      </c>
      <c r="R44" s="76" t="n">
        <v>9.51</v>
      </c>
      <c r="S44" s="76" t="n">
        <v>8.07</v>
      </c>
      <c r="T44" s="79" t="n">
        <v>138283514</v>
      </c>
      <c r="U44" s="61" t="n">
        <v>1.52</v>
      </c>
      <c r="V44" s="96" t="inlineStr">
        <is>
          <t>Bearish</t>
        </is>
      </c>
      <c r="W44" s="97" t="inlineStr">
        <is>
          <t>Golden Cross</t>
        </is>
      </c>
    </row>
    <row r="45">
      <c r="A45" t="inlineStr">
        <is>
          <t>23.03.2026</t>
        </is>
      </c>
      <c r="B45" s="94" t="inlineStr">
        <is>
          <t>QQQ</t>
        </is>
      </c>
      <c r="C45" t="inlineStr">
        <is>
          <t>QQQ</t>
        </is>
      </c>
      <c r="D45" s="72" t="n">
        <v>582.059998</v>
      </c>
      <c r="E45" s="72" t="n">
        <v>602.972</v>
      </c>
      <c r="F45" s="72" t="n">
        <v>610.948199</v>
      </c>
      <c r="G45" s="72" t="n">
        <v>592.027389</v>
      </c>
      <c r="H45" s="98" t="n">
        <v>33.65</v>
      </c>
      <c r="I45" t="inlineStr">
        <is>
          <t>Slab</t>
        </is>
      </c>
      <c r="J45" s="74" t="n">
        <v>-5.154219</v>
      </c>
      <c r="K45" s="74" t="n">
        <v>-3.546435</v>
      </c>
      <c r="L45" s="74" t="n">
        <v>-1.607784</v>
      </c>
      <c r="M45" t="inlineStr">
        <is>
          <t>Negativ</t>
        </is>
      </c>
      <c r="N45" s="72" t="n">
        <v>618.8751119999999</v>
      </c>
      <c r="O45" s="72" t="n">
        <v>587.068888</v>
      </c>
      <c r="P45" s="72" t="n">
        <v>31.806224</v>
      </c>
      <c r="Q45" s="75" t="n">
        <v>10.79214</v>
      </c>
      <c r="R45" s="76" t="n">
        <v>10.13</v>
      </c>
      <c r="S45" s="76" t="n">
        <v>16.35</v>
      </c>
      <c r="T45" s="79" t="n">
        <v>91964677</v>
      </c>
      <c r="U45" s="61" t="n">
        <v>1.29</v>
      </c>
      <c r="V45" s="96" t="inlineStr">
        <is>
          <t>Bearish</t>
        </is>
      </c>
      <c r="W45" s="97" t="inlineStr">
        <is>
          <t>Golden Cross</t>
        </is>
      </c>
    </row>
    <row r="46">
      <c r="A46" t="inlineStr">
        <is>
          <t>23.03.2026</t>
        </is>
      </c>
      <c r="B46" s="94" t="inlineStr">
        <is>
          <t>GLD ETF</t>
        </is>
      </c>
      <c r="C46" t="inlineStr">
        <is>
          <t>GLD</t>
        </is>
      </c>
      <c r="D46" s="72" t="n">
        <v>413.380005</v>
      </c>
      <c r="E46" s="72" t="n">
        <v>465.934999</v>
      </c>
      <c r="F46" s="72" t="n">
        <v>456.087401</v>
      </c>
      <c r="G46" s="72" t="n">
        <v>374.1368</v>
      </c>
      <c r="H46" s="95" t="n">
        <v>14.97</v>
      </c>
      <c r="I46" t="inlineStr">
        <is>
          <t>Supravendut ▲</t>
        </is>
      </c>
      <c r="J46" s="74" t="n">
        <v>-5.929256</v>
      </c>
      <c r="K46" s="74" t="n">
        <v>1.376493</v>
      </c>
      <c r="L46" s="74" t="n">
        <v>-7.30575</v>
      </c>
      <c r="M46" t="inlineStr">
        <is>
          <t>Negativ</t>
        </is>
      </c>
      <c r="N46" s="72" t="n">
        <v>503.380166</v>
      </c>
      <c r="O46" s="72" t="n">
        <v>428.489832</v>
      </c>
      <c r="P46" s="72" t="n">
        <v>74.890334</v>
      </c>
      <c r="Q46" s="75" t="n">
        <v>12.120708</v>
      </c>
      <c r="R46" s="76" t="n">
        <v>3.01</v>
      </c>
      <c r="S46" s="76" t="n">
        <v>5.5</v>
      </c>
      <c r="T46" s="79" t="n">
        <v>26108743</v>
      </c>
      <c r="U46" s="61" t="n">
        <v>1.81</v>
      </c>
      <c r="V46" s="96" t="inlineStr">
        <is>
          <t>Bearish</t>
        </is>
      </c>
      <c r="W46" s="97" t="inlineStr">
        <is>
          <t>Golden Cross</t>
        </is>
      </c>
    </row>
    <row r="47">
      <c r="A47" t="inlineStr">
        <is>
          <t>23.03.2026</t>
        </is>
      </c>
      <c r="B47" s="94" t="inlineStr">
        <is>
          <t>TLT Bond ETF</t>
        </is>
      </c>
      <c r="C47" t="inlineStr">
        <is>
          <t>TLT</t>
        </is>
      </c>
      <c r="D47" s="72" t="n">
        <v>85.83000199999999</v>
      </c>
      <c r="E47" s="72" t="n">
        <v>88.38432299999999</v>
      </c>
      <c r="F47" s="72" t="n">
        <v>87.865172</v>
      </c>
      <c r="G47" s="72" t="n">
        <v>86.738871</v>
      </c>
      <c r="H47" s="95" t="n">
        <v>26.95</v>
      </c>
      <c r="I47" t="inlineStr">
        <is>
          <t>Supravendut ▲</t>
        </is>
      </c>
      <c r="J47" s="74" t="n">
        <v>-0.446474</v>
      </c>
      <c r="K47" s="74" t="n">
        <v>-0.151525</v>
      </c>
      <c r="L47" s="74" t="n">
        <v>-0.294949</v>
      </c>
      <c r="M47" t="inlineStr">
        <is>
          <t>Negativ</t>
        </is>
      </c>
      <c r="N47" s="72" t="n">
        <v>91.052553</v>
      </c>
      <c r="O47" s="72" t="n">
        <v>85.716093</v>
      </c>
      <c r="P47" s="72" t="n">
        <v>5.33646</v>
      </c>
      <c r="Q47" s="75" t="n">
        <v>0.8042859999999999</v>
      </c>
      <c r="R47" s="76" t="n">
        <v>1.79</v>
      </c>
      <c r="S47" s="76" t="n">
        <v>14.25</v>
      </c>
      <c r="T47" s="79" t="n">
        <v>78948515</v>
      </c>
      <c r="U47" s="61" t="n">
        <v>1.75</v>
      </c>
      <c r="V47" s="96" t="inlineStr">
        <is>
          <t>Bearish</t>
        </is>
      </c>
      <c r="W47" s="97" t="inlineStr">
        <is>
          <t>Golden Cross</t>
        </is>
      </c>
    </row>
    <row r="48">
      <c r="A48" t="inlineStr">
        <is>
          <t>23.03.2026</t>
        </is>
      </c>
      <c r="B48" s="94" t="inlineStr">
        <is>
          <t>ARKK</t>
        </is>
      </c>
      <c r="C48" t="inlineStr">
        <is>
          <t>ARKK</t>
        </is>
      </c>
      <c r="D48" s="72" t="n">
        <v>69.150002</v>
      </c>
      <c r="E48" s="72" t="n">
        <v>72.440501</v>
      </c>
      <c r="F48" s="72" t="n">
        <v>74.60040100000001</v>
      </c>
      <c r="G48" s="72" t="n">
        <v>77.09014999999999</v>
      </c>
      <c r="H48" s="98" t="n">
        <v>37.43</v>
      </c>
      <c r="I48" t="inlineStr">
        <is>
          <t>Slab</t>
        </is>
      </c>
      <c r="J48" s="74" t="n">
        <v>-0.861696</v>
      </c>
      <c r="K48" s="74" t="n">
        <v>-0.711427</v>
      </c>
      <c r="L48" s="74" t="n">
        <v>-0.150269</v>
      </c>
      <c r="M48" t="inlineStr">
        <is>
          <t>Negativ</t>
        </is>
      </c>
      <c r="N48" s="72" t="n">
        <v>75.69761200000001</v>
      </c>
      <c r="O48" s="72" t="n">
        <v>69.18338900000001</v>
      </c>
      <c r="P48" s="72" t="n">
        <v>6.514223</v>
      </c>
      <c r="Q48" s="75" t="n">
        <v>2.472143</v>
      </c>
      <c r="R48" s="76" t="n">
        <v>11.22</v>
      </c>
      <c r="S48" s="76" t="n">
        <v>21.44</v>
      </c>
      <c r="T48" s="79" t="n">
        <v>14561261</v>
      </c>
      <c r="U48" s="61" t="n">
        <v>1.28</v>
      </c>
      <c r="V48" s="96" t="inlineStr">
        <is>
          <t>Bearish</t>
        </is>
      </c>
      <c r="W48" s="96" t="inlineStr">
        <is>
          <t>Death Cross</t>
        </is>
      </c>
    </row>
    <row r="49" ht="39" customHeight="1" s="113">
      <c r="A49" s="99" t="inlineStr">
        <is>
          <t>--- CRYPTOCURRENCY ---</t>
        </is>
      </c>
      <c r="B49" s="100" t="n"/>
      <c r="C49" s="100" t="n"/>
      <c r="D49" s="100" t="n"/>
      <c r="E49" s="100" t="n"/>
      <c r="F49" s="100" t="n"/>
      <c r="G49" s="100" t="n"/>
      <c r="H49" s="100" t="n"/>
      <c r="I49" s="100" t="n"/>
      <c r="J49" s="100" t="n"/>
      <c r="K49" s="100" t="n"/>
      <c r="L49" s="100" t="n"/>
      <c r="M49" s="100" t="n"/>
      <c r="N49" s="100" t="n"/>
      <c r="O49" s="100" t="n"/>
      <c r="P49" s="100" t="n"/>
      <c r="Q49" s="100" t="n"/>
      <c r="R49" s="100" t="n"/>
      <c r="S49" s="100" t="n"/>
      <c r="T49" s="100" t="n"/>
      <c r="U49" s="100" t="n"/>
      <c r="V49" s="100" t="n"/>
      <c r="W49" s="100" t="n"/>
    </row>
    <row r="50">
      <c r="A50" t="inlineStr">
        <is>
          <t>23.03.2026</t>
        </is>
      </c>
      <c r="B50" s="94" t="inlineStr">
        <is>
          <t>Bitcoin</t>
        </is>
      </c>
      <c r="C50" t="inlineStr">
        <is>
          <t>BTC-USD</t>
        </is>
      </c>
      <c r="D50" s="72" t="n">
        <v>68107.21875</v>
      </c>
      <c r="E50" s="72" t="n">
        <v>70225.396484</v>
      </c>
      <c r="F50" s="72" t="n">
        <v>69321.23742200001</v>
      </c>
      <c r="G50" s="72" t="n">
        <v>92574.908301</v>
      </c>
      <c r="H50" s="101" t="n">
        <v>56.34</v>
      </c>
      <c r="I50" t="inlineStr">
        <is>
          <t>Puternic</t>
        </is>
      </c>
      <c r="J50" s="74" t="n">
        <v>-7.168455</v>
      </c>
      <c r="K50" s="74" t="n">
        <v>120.207207</v>
      </c>
      <c r="L50" s="74" t="n">
        <v>-127.375662</v>
      </c>
      <c r="M50" t="inlineStr">
        <is>
          <t>Bearish Cross</t>
        </is>
      </c>
      <c r="N50" s="72" t="n">
        <v>74726.50678700001</v>
      </c>
      <c r="O50" s="72" t="n">
        <v>65724.286182</v>
      </c>
      <c r="P50" s="72" t="n">
        <v>9002.220605</v>
      </c>
      <c r="Q50" s="75" t="n">
        <v>2513.242746</v>
      </c>
      <c r="R50" s="76" t="n">
        <v>22.2</v>
      </c>
      <c r="S50" s="76" t="n">
        <v>33.03</v>
      </c>
      <c r="T50" s="79" t="n">
        <v>27901593600</v>
      </c>
      <c r="U50" s="61" t="n">
        <v>0.65</v>
      </c>
      <c r="V50" s="96" t="inlineStr">
        <is>
          <t>Bearish</t>
        </is>
      </c>
      <c r="W50" s="96" t="inlineStr">
        <is>
          <t>Death Cross</t>
        </is>
      </c>
    </row>
    <row r="51">
      <c r="A51" t="inlineStr">
        <is>
          <t>23.03.2026</t>
        </is>
      </c>
      <c r="B51" s="94" t="inlineStr">
        <is>
          <t>Ethereum</t>
        </is>
      </c>
      <c r="C51" t="inlineStr">
        <is>
          <t>ETH-USD</t>
        </is>
      </c>
      <c r="D51" s="72" t="n">
        <v>2061.275879</v>
      </c>
      <c r="E51" s="72" t="n">
        <v>2094.118683</v>
      </c>
      <c r="F51" s="72" t="n">
        <v>2049.724822</v>
      </c>
      <c r="G51" s="72" t="n">
        <v>3159.203558</v>
      </c>
      <c r="H51" s="101" t="n">
        <v>58.63</v>
      </c>
      <c r="I51" t="inlineStr">
        <is>
          <t>Puternic</t>
        </is>
      </c>
      <c r="J51" s="74" t="n">
        <v>14.795688</v>
      </c>
      <c r="K51" s="74" t="n">
        <v>11.594254</v>
      </c>
      <c r="L51" s="74" t="n">
        <v>3.201434</v>
      </c>
      <c r="M51" t="inlineStr">
        <is>
          <t>Pozitiv</t>
        </is>
      </c>
      <c r="N51" s="72" t="n">
        <v>2311.539189</v>
      </c>
      <c r="O51" s="72" t="n">
        <v>1876.698176</v>
      </c>
      <c r="P51" s="72" t="n">
        <v>434.841013</v>
      </c>
      <c r="Q51" s="75" t="n">
        <v>105.476449</v>
      </c>
      <c r="R51" s="76" t="n">
        <v>28.79</v>
      </c>
      <c r="S51" s="76" t="n">
        <v>37.49</v>
      </c>
      <c r="T51" s="79" t="n">
        <v>14564574208</v>
      </c>
      <c r="U51" s="61" t="n">
        <v>0.6899999999999999</v>
      </c>
      <c r="V51" s="102" t="inlineStr">
        <is>
          <t>Sideways</t>
        </is>
      </c>
      <c r="W51" s="96" t="inlineStr">
        <is>
          <t>Death Cross</t>
        </is>
      </c>
    </row>
    <row r="52">
      <c r="A52" t="inlineStr">
        <is>
          <t>23.03.2026</t>
        </is>
      </c>
      <c r="B52" s="94" t="inlineStr">
        <is>
          <t>BNB</t>
        </is>
      </c>
      <c r="C52" t="inlineStr">
        <is>
          <t>BNB-USD</t>
        </is>
      </c>
      <c r="D52" s="72" t="n">
        <v>627.5261839999999</v>
      </c>
      <c r="E52" s="72" t="n">
        <v>645.268207</v>
      </c>
      <c r="F52" s="72" t="n">
        <v>640.5641419999999</v>
      </c>
      <c r="G52" s="72" t="n">
        <v>879.001003</v>
      </c>
      <c r="H52" s="101" t="n">
        <v>56.2</v>
      </c>
      <c r="I52" t="inlineStr">
        <is>
          <t>Puternic</t>
        </is>
      </c>
      <c r="J52" s="74" t="n">
        <v>-2.661596</v>
      </c>
      <c r="K52" s="74" t="n">
        <v>-1.943074</v>
      </c>
      <c r="L52" s="74" t="n">
        <v>-0.718522</v>
      </c>
      <c r="M52" t="inlineStr">
        <is>
          <t>Bearish Cross</t>
        </is>
      </c>
      <c r="N52" s="72" t="n">
        <v>680.807003</v>
      </c>
      <c r="O52" s="72" t="n">
        <v>609.72941</v>
      </c>
      <c r="P52" s="72" t="n">
        <v>71.07759299999999</v>
      </c>
      <c r="Q52" s="75" t="n">
        <v>18.274501</v>
      </c>
      <c r="R52" s="76" t="n">
        <v>21.33</v>
      </c>
      <c r="S52" s="76" t="n">
        <v>30.51</v>
      </c>
      <c r="T52" s="79" t="n">
        <v>1553783168</v>
      </c>
      <c r="U52" s="61" t="n">
        <v>0.93</v>
      </c>
      <c r="V52" s="96" t="inlineStr">
        <is>
          <t>Bearish</t>
        </is>
      </c>
      <c r="W52" s="96" t="inlineStr">
        <is>
          <t>Death Cross</t>
        </is>
      </c>
    </row>
    <row r="53">
      <c r="A53" t="inlineStr">
        <is>
          <t>23.03.2026</t>
        </is>
      </c>
      <c r="B53" s="94" t="inlineStr">
        <is>
          <t>Solana</t>
        </is>
      </c>
      <c r="C53" t="inlineStr">
        <is>
          <t>SOL-USD</t>
        </is>
      </c>
      <c r="D53" s="72" t="n">
        <v>86.55755600000001</v>
      </c>
      <c r="E53" s="72" t="n">
        <v>88.125208</v>
      </c>
      <c r="F53" s="72" t="n">
        <v>86.776636</v>
      </c>
      <c r="G53" s="72" t="n">
        <v>145.511451</v>
      </c>
      <c r="H53" s="101" t="n">
        <v>59.38</v>
      </c>
      <c r="I53" t="inlineStr">
        <is>
          <t>Puternic</t>
        </is>
      </c>
      <c r="J53" s="74" t="n">
        <v>0.135348</v>
      </c>
      <c r="K53" s="74" t="n">
        <v>-0.036828</v>
      </c>
      <c r="L53" s="74" t="n">
        <v>0.172176</v>
      </c>
      <c r="M53" t="inlineStr">
        <is>
          <t>Pozitiv</t>
        </is>
      </c>
      <c r="N53" s="72" t="n">
        <v>95.278666</v>
      </c>
      <c r="O53" s="72" t="n">
        <v>80.971749</v>
      </c>
      <c r="P53" s="72" t="n">
        <v>14.306917</v>
      </c>
      <c r="Q53" s="75" t="n">
        <v>4.014717</v>
      </c>
      <c r="R53" s="76" t="n">
        <v>31.34</v>
      </c>
      <c r="S53" s="76" t="n">
        <v>42.17</v>
      </c>
      <c r="T53" s="79" t="n">
        <v>2674943744</v>
      </c>
      <c r="U53" s="61" t="n">
        <v>0.68</v>
      </c>
      <c r="V53" s="102" t="inlineStr">
        <is>
          <t>Sideways</t>
        </is>
      </c>
      <c r="W53" s="96" t="inlineStr">
        <is>
          <t>Death Cross</t>
        </is>
      </c>
    </row>
    <row r="54">
      <c r="A54" t="inlineStr">
        <is>
          <t>23.03.2026</t>
        </is>
      </c>
      <c r="B54" s="94" t="inlineStr">
        <is>
          <t>XRP</t>
        </is>
      </c>
      <c r="C54" t="inlineStr">
        <is>
          <t>XRP-USD</t>
        </is>
      </c>
      <c r="D54" s="72" t="n">
        <v>1.387762</v>
      </c>
      <c r="E54" s="72" t="n">
        <v>1.411992</v>
      </c>
      <c r="F54" s="72" t="n">
        <v>1.421824</v>
      </c>
      <c r="G54" s="72" t="n">
        <v>2.105816</v>
      </c>
      <c r="H54" s="101" t="n">
        <v>56.41</v>
      </c>
      <c r="I54" t="inlineStr">
        <is>
          <t>Puternic</t>
        </is>
      </c>
      <c r="J54" s="74" t="n">
        <v>-0.002066</v>
      </c>
      <c r="K54" s="74" t="n">
        <v>-0.006211</v>
      </c>
      <c r="L54" s="74" t="n">
        <v>0.004145</v>
      </c>
      <c r="M54" t="inlineStr">
        <is>
          <t>Pozitiv</t>
        </is>
      </c>
      <c r="N54" s="72" t="n">
        <v>1.518537</v>
      </c>
      <c r="O54" s="72" t="n">
        <v>1.305447</v>
      </c>
      <c r="P54" s="72" t="n">
        <v>0.213091</v>
      </c>
      <c r="Q54" s="75" t="n">
        <v>0.057141</v>
      </c>
      <c r="R54" s="76" t="n">
        <v>19.25</v>
      </c>
      <c r="S54" s="76" t="n">
        <v>30.15</v>
      </c>
      <c r="T54" s="79" t="n">
        <v>1566485504</v>
      </c>
      <c r="U54" s="61" t="n">
        <v>0.61</v>
      </c>
      <c r="V54" s="96" t="inlineStr">
        <is>
          <t>Bearish</t>
        </is>
      </c>
      <c r="W54" s="96" t="inlineStr">
        <is>
          <t>Death Cross</t>
        </is>
      </c>
    </row>
    <row r="55">
      <c r="A55" t="inlineStr">
        <is>
          <t>23.03.2026</t>
        </is>
      </c>
      <c r="B55" s="94" t="inlineStr">
        <is>
          <t>Cardano</t>
        </is>
      </c>
      <c r="C55" t="inlineStr">
        <is>
          <t>ADA-USD</t>
        </is>
      </c>
      <c r="D55" s="72" t="n">
        <v>0.252382</v>
      </c>
      <c r="E55" s="72" t="n">
        <v>0.265496</v>
      </c>
      <c r="F55" s="72" t="n">
        <v>0.271996</v>
      </c>
      <c r="G55" s="72" t="n">
        <v>0.485849</v>
      </c>
      <c r="H55" s="101" t="n">
        <v>51.87</v>
      </c>
      <c r="I55" t="inlineStr">
        <is>
          <t>Neutru</t>
        </is>
      </c>
      <c r="J55" s="74" t="n">
        <v>-0.003959</v>
      </c>
      <c r="K55" s="74" t="n">
        <v>-0.003745</v>
      </c>
      <c r="L55" s="74" t="n">
        <v>-0.000215</v>
      </c>
      <c r="M55" t="inlineStr">
        <is>
          <t>Bearish Cross</t>
        </is>
      </c>
      <c r="N55" s="72" t="n">
        <v>0.287016</v>
      </c>
      <c r="O55" s="72" t="n">
        <v>0.243977</v>
      </c>
      <c r="P55" s="72" t="n">
        <v>0.043039</v>
      </c>
      <c r="Q55" s="75" t="n">
        <v>0.012862</v>
      </c>
      <c r="R55" s="76" t="n">
        <v>7</v>
      </c>
      <c r="S55" s="76" t="n">
        <v>23.49</v>
      </c>
      <c r="T55" s="79" t="n">
        <v>409243808</v>
      </c>
      <c r="U55" s="61" t="n">
        <v>0.75</v>
      </c>
      <c r="V55" s="96" t="inlineStr">
        <is>
          <t>Bearish</t>
        </is>
      </c>
      <c r="W55" s="96" t="inlineStr">
        <is>
          <t>Death Cross</t>
        </is>
      </c>
    </row>
    <row r="56">
      <c r="A56" t="inlineStr">
        <is>
          <t>23.03.2026</t>
        </is>
      </c>
      <c r="B56" s="94" t="inlineStr">
        <is>
          <t>Avalanche</t>
        </is>
      </c>
      <c r="C56" t="inlineStr">
        <is>
          <t>AVAX-USD</t>
        </is>
      </c>
      <c r="D56" s="72" t="n">
        <v>9.094593</v>
      </c>
      <c r="E56" s="72" t="n">
        <v>9.49474</v>
      </c>
      <c r="F56" s="72" t="n">
        <v>9.277502999999999</v>
      </c>
      <c r="G56" s="72" t="n">
        <v>16.261883</v>
      </c>
      <c r="H56" s="101" t="n">
        <v>54.21</v>
      </c>
      <c r="I56" t="inlineStr">
        <is>
          <t>Neutru</t>
        </is>
      </c>
      <c r="J56" s="74" t="n">
        <v>0.011652</v>
      </c>
      <c r="K56" s="74" t="n">
        <v>0.050451</v>
      </c>
      <c r="L56" s="74" t="n">
        <v>-0.038799</v>
      </c>
      <c r="M56" t="inlineStr">
        <is>
          <t>Negativ</t>
        </is>
      </c>
      <c r="N56" s="72" t="n">
        <v>10.326957</v>
      </c>
      <c r="O56" s="72" t="n">
        <v>8.662523</v>
      </c>
      <c r="P56" s="72" t="n">
        <v>1.664434</v>
      </c>
      <c r="Q56" s="75" t="n">
        <v>0.436905</v>
      </c>
      <c r="R56" s="76" t="n">
        <v>16.31</v>
      </c>
      <c r="S56" s="76" t="n">
        <v>29.8</v>
      </c>
      <c r="T56" s="79" t="n">
        <v>211624400</v>
      </c>
      <c r="U56" s="61" t="n">
        <v>0.7</v>
      </c>
      <c r="V56" s="96" t="inlineStr">
        <is>
          <t>Bearish</t>
        </is>
      </c>
      <c r="W56" s="96" t="inlineStr">
        <is>
          <t>Death Cross</t>
        </is>
      </c>
    </row>
    <row r="57">
      <c r="A57" t="inlineStr">
        <is>
          <t>23.03.2026</t>
        </is>
      </c>
      <c r="B57" s="94" t="inlineStr">
        <is>
          <t>Dogecoin</t>
        </is>
      </c>
      <c r="C57" t="inlineStr">
        <is>
          <t>DOGE-USD</t>
        </is>
      </c>
      <c r="D57" s="72" t="n">
        <v>0.090837</v>
      </c>
      <c r="E57" s="72" t="n">
        <v>0.094155</v>
      </c>
      <c r="F57" s="72" t="n">
        <v>0.09633700000000001</v>
      </c>
      <c r="G57" s="72" t="n">
        <v>0.156043</v>
      </c>
      <c r="H57" s="101" t="n">
        <v>52.71</v>
      </c>
      <c r="I57" t="inlineStr">
        <is>
          <t>Neutru</t>
        </is>
      </c>
      <c r="J57" s="74" t="n">
        <v>-0.001179</v>
      </c>
      <c r="K57" s="74" t="n">
        <v>-0.001126</v>
      </c>
      <c r="L57" s="74" t="n">
        <v>-5.3e-05</v>
      </c>
      <c r="M57" t="inlineStr">
        <is>
          <t>Bearish Cross</t>
        </is>
      </c>
      <c r="N57" s="72" t="n">
        <v>0.101603</v>
      </c>
      <c r="O57" s="72" t="n">
        <v>0.08670700000000001</v>
      </c>
      <c r="P57" s="72" t="n">
        <v>0.014895</v>
      </c>
      <c r="Q57" s="75" t="n">
        <v>0.004553</v>
      </c>
      <c r="R57" s="76" t="n">
        <v>11.38</v>
      </c>
      <c r="S57" s="76" t="n">
        <v>24.74</v>
      </c>
      <c r="T57" s="79" t="n">
        <v>816632960</v>
      </c>
      <c r="U57" s="61" t="n">
        <v>0.63</v>
      </c>
      <c r="V57" s="96" t="inlineStr">
        <is>
          <t>Bearish</t>
        </is>
      </c>
      <c r="W57" s="96" t="inlineStr">
        <is>
          <t>Death Cross</t>
        </is>
      </c>
    </row>
    <row r="58">
      <c r="A58" t="inlineStr">
        <is>
          <t>23.03.2026</t>
        </is>
      </c>
      <c r="B58" s="94" t="inlineStr">
        <is>
          <t>Chainlink</t>
        </is>
      </c>
      <c r="C58" t="inlineStr">
        <is>
          <t>LINK-USD</t>
        </is>
      </c>
      <c r="D58" s="72" t="n">
        <v>8.730269</v>
      </c>
      <c r="E58" s="72" t="n">
        <v>9.082246</v>
      </c>
      <c r="F58" s="72" t="n">
        <v>8.925045000000001</v>
      </c>
      <c r="G58" s="72" t="n">
        <v>14.406759</v>
      </c>
      <c r="H58" s="101" t="n">
        <v>53.78</v>
      </c>
      <c r="I58" t="inlineStr">
        <is>
          <t>Neutru</t>
        </is>
      </c>
      <c r="J58" s="74" t="n">
        <v>-0.022889</v>
      </c>
      <c r="K58" s="74" t="n">
        <v>-0.000338</v>
      </c>
      <c r="L58" s="74" t="n">
        <v>-0.022551</v>
      </c>
      <c r="M58" t="inlineStr">
        <is>
          <t>Bearish Cross</t>
        </is>
      </c>
      <c r="N58" s="72" t="n">
        <v>9.790119000000001</v>
      </c>
      <c r="O58" s="72" t="n">
        <v>8.374373</v>
      </c>
      <c r="P58" s="72" t="n">
        <v>1.415745</v>
      </c>
      <c r="Q58" s="75" t="n">
        <v>0.386566</v>
      </c>
      <c r="R58" s="76" t="n">
        <v>13.69</v>
      </c>
      <c r="S58" s="76" t="n">
        <v>25.88</v>
      </c>
      <c r="T58" s="79" t="n">
        <v>565907584</v>
      </c>
      <c r="U58" s="61" t="n">
        <v>0.83</v>
      </c>
      <c r="V58" s="96" t="inlineStr">
        <is>
          <t>Bearish</t>
        </is>
      </c>
      <c r="W58" s="96" t="inlineStr">
        <is>
          <t>Death Cross</t>
        </is>
      </c>
    </row>
    <row r="59">
      <c r="A59" t="inlineStr">
        <is>
          <t>23.03.2026</t>
        </is>
      </c>
      <c r="B59" s="94" t="inlineStr">
        <is>
          <t>Polkadot</t>
        </is>
      </c>
      <c r="C59" t="inlineStr">
        <is>
          <t>DOT-USD</t>
        </is>
      </c>
      <c r="D59" s="72" t="n">
        <v>1.425779</v>
      </c>
      <c r="E59" s="72" t="n">
        <v>1.503796</v>
      </c>
      <c r="F59" s="72" t="n">
        <v>1.440956</v>
      </c>
      <c r="G59" s="72" t="n">
        <v>2.458209</v>
      </c>
      <c r="H59" s="98" t="n">
        <v>47.96</v>
      </c>
      <c r="I59" t="inlineStr">
        <is>
          <t>Neutru</t>
        </is>
      </c>
      <c r="J59" s="74" t="n">
        <v>0.000816</v>
      </c>
      <c r="K59" s="74" t="n">
        <v>0.007576</v>
      </c>
      <c r="L59" s="74" t="n">
        <v>-0.00676</v>
      </c>
      <c r="M59" t="inlineStr">
        <is>
          <t>Negativ</t>
        </is>
      </c>
      <c r="N59" s="72" t="n">
        <v>1.624968</v>
      </c>
      <c r="O59" s="72" t="n">
        <v>1.382624</v>
      </c>
      <c r="P59" s="72" t="n">
        <v>0.242344</v>
      </c>
      <c r="Q59" s="75" t="n">
        <v>0.076048</v>
      </c>
      <c r="R59" s="76" t="n">
        <v>10.17</v>
      </c>
      <c r="S59" s="76" t="n">
        <v>25.06</v>
      </c>
      <c r="T59" s="79" t="n">
        <v>121411440</v>
      </c>
      <c r="U59" s="61" t="n">
        <v>0.71</v>
      </c>
      <c r="V59" s="96" t="inlineStr">
        <is>
          <t>Bearish</t>
        </is>
      </c>
      <c r="W59" s="96" t="inlineStr">
        <is>
          <t>Death Cross</t>
        </is>
      </c>
    </row>
    <row r="60">
      <c r="A60" t="inlineStr">
        <is>
          <t>23.03.2026</t>
        </is>
      </c>
      <c r="B60" s="94" t="inlineStr">
        <is>
          <t>Litecoin</t>
        </is>
      </c>
      <c r="C60" t="inlineStr">
        <is>
          <t>LTC-USD</t>
        </is>
      </c>
      <c r="D60" s="72" t="n">
        <v>53.798595</v>
      </c>
      <c r="E60" s="72" t="n">
        <v>55.172621</v>
      </c>
      <c r="F60" s="72" t="n">
        <v>54.892545</v>
      </c>
      <c r="G60" s="72" t="n">
        <v>82.36698699999999</v>
      </c>
      <c r="H60" s="101" t="n">
        <v>54.37</v>
      </c>
      <c r="I60" t="inlineStr">
        <is>
          <t>Neutru</t>
        </is>
      </c>
      <c r="J60" s="74" t="n">
        <v>-0.10081</v>
      </c>
      <c r="K60" s="74" t="n">
        <v>-0.134589</v>
      </c>
      <c r="L60" s="74" t="n">
        <v>0.033779</v>
      </c>
      <c r="M60" t="inlineStr">
        <is>
          <t>Pozitiv</t>
        </is>
      </c>
      <c r="N60" s="72" t="n">
        <v>58.23031</v>
      </c>
      <c r="O60" s="72" t="n">
        <v>52.114931</v>
      </c>
      <c r="P60" s="72" t="n">
        <v>6.115379</v>
      </c>
      <c r="Q60" s="75" t="n">
        <v>1.782566</v>
      </c>
      <c r="R60" s="76" t="n">
        <v>18.66</v>
      </c>
      <c r="S60" s="76" t="n">
        <v>37.45</v>
      </c>
      <c r="T60" s="79" t="n">
        <v>271270048</v>
      </c>
      <c r="U60" s="61" t="n">
        <v>0.86</v>
      </c>
      <c r="V60" s="96" t="inlineStr">
        <is>
          <t>Bearish</t>
        </is>
      </c>
      <c r="W60" s="96" t="inlineStr">
        <is>
          <t>Death Cross</t>
        </is>
      </c>
    </row>
    <row r="61">
      <c r="A61" t="inlineStr">
        <is>
          <t>23.03.2026</t>
        </is>
      </c>
      <c r="B61" s="94" t="inlineStr">
        <is>
          <t>Shiba Inu</t>
        </is>
      </c>
      <c r="C61" t="inlineStr">
        <is>
          <t>SHIB-USD</t>
        </is>
      </c>
      <c r="D61" s="72" t="n">
        <v>6e-06</v>
      </c>
      <c r="E61" s="72" t="n">
        <v>6e-06</v>
      </c>
      <c r="F61" s="72" t="n">
        <v>6e-06</v>
      </c>
      <c r="G61" s="72" t="n">
        <v>9e-06</v>
      </c>
      <c r="H61" s="103" t="n">
        <v>84.05</v>
      </c>
      <c r="I61" t="inlineStr">
        <is>
          <t>Supravandut ▼</t>
        </is>
      </c>
      <c r="J61" s="74" t="n">
        <v>0</v>
      </c>
      <c r="K61" s="74" t="n">
        <v>0</v>
      </c>
      <c r="L61" s="74" t="n">
        <v>0</v>
      </c>
      <c r="M61" t="inlineStr">
        <is>
          <t>Pozitiv</t>
        </is>
      </c>
      <c r="N61" s="72" t="n">
        <v>7e-06</v>
      </c>
      <c r="O61" s="72" t="n">
        <v>5e-06</v>
      </c>
      <c r="P61" s="72" t="n">
        <v>2e-06</v>
      </c>
      <c r="Q61" s="75" t="n">
        <v>0</v>
      </c>
      <c r="R61" s="76" t="n">
        <v>81.03</v>
      </c>
      <c r="S61" s="76" t="n">
        <v>93.68000000000001</v>
      </c>
      <c r="T61" s="79" t="n">
        <v>95698504</v>
      </c>
      <c r="U61" s="61" t="n">
        <v>0.72</v>
      </c>
      <c r="V61" s="96" t="inlineStr">
        <is>
          <t>Bearish</t>
        </is>
      </c>
      <c r="W61" s="96" t="inlineStr">
        <is>
          <t>Death Cross</t>
        </is>
      </c>
    </row>
    <row r="62">
      <c r="A62" t="inlineStr">
        <is>
          <t>23.03.2026</t>
        </is>
      </c>
      <c r="B62" s="94" t="inlineStr">
        <is>
          <t>Polygon</t>
        </is>
      </c>
      <c r="C62" t="inlineStr">
        <is>
          <t>MATIC-USD</t>
        </is>
      </c>
      <c r="U62" s="61" t="n"/>
    </row>
    <row r="63">
      <c r="A63" t="inlineStr">
        <is>
          <t>23.03.2026</t>
        </is>
      </c>
      <c r="B63" s="94" t="inlineStr">
        <is>
          <t>Uniswap</t>
        </is>
      </c>
      <c r="C63" t="inlineStr">
        <is>
          <t>UNI-USD</t>
        </is>
      </c>
      <c r="D63" s="72" t="n">
        <v>0.000163</v>
      </c>
      <c r="E63" s="72" t="n">
        <v>0.000164</v>
      </c>
      <c r="H63" s="98" t="n">
        <v>45.45</v>
      </c>
      <c r="I63" t="inlineStr">
        <is>
          <t>Neutru</t>
        </is>
      </c>
      <c r="J63" s="74" t="n">
        <v>-2e-06</v>
      </c>
      <c r="K63" s="74" t="n">
        <v>-2e-06</v>
      </c>
      <c r="L63" s="74" t="n">
        <v>0</v>
      </c>
      <c r="M63" t="inlineStr">
        <is>
          <t>Pozitiv</t>
        </is>
      </c>
      <c r="N63" s="72" t="n">
        <v>0.000172</v>
      </c>
      <c r="O63" s="72" t="n">
        <v>0.000155</v>
      </c>
      <c r="P63" s="72" t="n">
        <v>1.7e-05</v>
      </c>
      <c r="Q63" s="75" t="n">
        <v>5e-06</v>
      </c>
      <c r="R63" s="76" t="n">
        <v>65</v>
      </c>
      <c r="S63" s="76" t="n">
        <v>59.38</v>
      </c>
      <c r="T63" s="79" t="n">
        <v>0</v>
      </c>
      <c r="U63" s="61" t="n">
        <v>0</v>
      </c>
      <c r="V63" s="102" t="inlineStr">
        <is>
          <t>Sideways</t>
        </is>
      </c>
      <c r="W63" s="102" t="inlineStr">
        <is>
          <t>Neutru</t>
        </is>
      </c>
    </row>
    <row r="64">
      <c r="A64" t="inlineStr">
        <is>
          <t>23.03.2026</t>
        </is>
      </c>
      <c r="B64" s="94" t="inlineStr">
        <is>
          <t>Cosmos</t>
        </is>
      </c>
      <c r="C64" t="inlineStr">
        <is>
          <t>ATOM-USD</t>
        </is>
      </c>
      <c r="D64" s="72" t="n">
        <v>1.778464</v>
      </c>
      <c r="E64" s="72" t="n">
        <v>1.835941</v>
      </c>
      <c r="F64" s="72" t="n">
        <v>1.958983</v>
      </c>
      <c r="G64" s="72" t="n">
        <v>2.724547</v>
      </c>
      <c r="H64" s="101" t="n">
        <v>54.14</v>
      </c>
      <c r="I64" t="inlineStr">
        <is>
          <t>Neutru</t>
        </is>
      </c>
      <c r="J64" s="74" t="n">
        <v>-0.040907</v>
      </c>
      <c r="K64" s="74" t="n">
        <v>-0.04485</v>
      </c>
      <c r="L64" s="74" t="n">
        <v>0.003943</v>
      </c>
      <c r="M64" t="inlineStr">
        <is>
          <t>Pozitiv</t>
        </is>
      </c>
      <c r="N64" s="72" t="n">
        <v>1.961651</v>
      </c>
      <c r="O64" s="72" t="n">
        <v>1.710231</v>
      </c>
      <c r="P64" s="72" t="n">
        <v>0.25142</v>
      </c>
      <c r="Q64" s="75" t="n">
        <v>0.072119</v>
      </c>
      <c r="R64" s="76" t="n">
        <v>21.87</v>
      </c>
      <c r="S64" s="76" t="n">
        <v>29.05</v>
      </c>
      <c r="T64" s="79" t="n">
        <v>38230812</v>
      </c>
      <c r="U64" s="61" t="n">
        <v>0.8</v>
      </c>
      <c r="V64" s="96" t="inlineStr">
        <is>
          <t>Bearish</t>
        </is>
      </c>
      <c r="W64" s="96" t="inlineStr">
        <is>
          <t>Death Cross</t>
        </is>
      </c>
    </row>
    <row r="65">
      <c r="A65" t="inlineStr">
        <is>
          <t>23.03.2026</t>
        </is>
      </c>
      <c r="B65" s="94" t="inlineStr">
        <is>
          <t>Stellar</t>
        </is>
      </c>
      <c r="C65" t="inlineStr">
        <is>
          <t>XLM-USD</t>
        </is>
      </c>
      <c r="D65" s="72" t="n">
        <v>0.157239</v>
      </c>
      <c r="E65" s="72" t="n">
        <v>0.160869</v>
      </c>
      <c r="F65" s="72" t="n">
        <v>0.161547</v>
      </c>
      <c r="G65" s="72" t="n">
        <v>0.253198</v>
      </c>
      <c r="H65" s="101" t="n">
        <v>59.4</v>
      </c>
      <c r="I65" t="inlineStr">
        <is>
          <t>Puternic</t>
        </is>
      </c>
      <c r="J65" s="74" t="n">
        <v>0.000436</v>
      </c>
      <c r="K65" s="74" t="n">
        <v>0.000173</v>
      </c>
      <c r="L65" s="74" t="n">
        <v>0.000263</v>
      </c>
      <c r="M65" t="inlineStr">
        <is>
          <t>Pozitiv</t>
        </is>
      </c>
      <c r="N65" s="72" t="n">
        <v>0.176829</v>
      </c>
      <c r="O65" s="72" t="n">
        <v>0.144909</v>
      </c>
      <c r="P65" s="72" t="n">
        <v>0.03192</v>
      </c>
      <c r="Q65" s="75" t="n">
        <v>0.007437</v>
      </c>
      <c r="R65" s="76" t="n">
        <v>27.03</v>
      </c>
      <c r="S65" s="76" t="n">
        <v>41.09</v>
      </c>
      <c r="T65" s="79" t="n">
        <v>91562304</v>
      </c>
      <c r="U65" s="61" t="n">
        <v>0.8100000000000001</v>
      </c>
      <c r="V65" s="96" t="inlineStr">
        <is>
          <t>Bearish</t>
        </is>
      </c>
      <c r="W65" s="96" t="inlineStr">
        <is>
          <t>Death Cross</t>
        </is>
      </c>
    </row>
    <row r="66">
      <c r="A66" t="inlineStr">
        <is>
          <t>23.03.2026</t>
        </is>
      </c>
      <c r="B66" s="94" t="inlineStr">
        <is>
          <t>Monero</t>
        </is>
      </c>
      <c r="C66" t="inlineStr">
        <is>
          <t>XMR-USD</t>
        </is>
      </c>
      <c r="D66" s="72" t="n">
        <v>358.570068</v>
      </c>
      <c r="E66" s="72" t="n">
        <v>351.720183</v>
      </c>
      <c r="F66" s="72" t="n">
        <v>344.791985</v>
      </c>
      <c r="G66" s="72" t="n">
        <v>376.288925</v>
      </c>
      <c r="H66" s="101" t="n">
        <v>60.14</v>
      </c>
      <c r="I66" t="inlineStr">
        <is>
          <t>Puternic</t>
        </is>
      </c>
      <c r="J66" s="74" t="n">
        <v>-0.731311</v>
      </c>
      <c r="K66" s="74" t="n">
        <v>-1.319433</v>
      </c>
      <c r="L66" s="74" t="n">
        <v>0.588122</v>
      </c>
      <c r="M66" t="inlineStr">
        <is>
          <t>Bullish Cross</t>
        </is>
      </c>
      <c r="N66" s="72" t="n">
        <v>371.62659</v>
      </c>
      <c r="O66" s="72" t="n">
        <v>331.813776</v>
      </c>
      <c r="P66" s="72" t="n">
        <v>39.812815</v>
      </c>
      <c r="Q66" s="75" t="n">
        <v>15.304836</v>
      </c>
      <c r="R66" s="76" t="n">
        <v>51.94</v>
      </c>
      <c r="S66" s="76" t="n">
        <v>32.69</v>
      </c>
      <c r="T66" s="79" t="n">
        <v>81631312</v>
      </c>
      <c r="U66" s="61" t="n">
        <v>0.96</v>
      </c>
      <c r="V66" s="97" t="inlineStr">
        <is>
          <t>Bullish</t>
        </is>
      </c>
      <c r="W66" s="96" t="inlineStr">
        <is>
          <t>Death Cross</t>
        </is>
      </c>
    </row>
    <row r="67">
      <c r="A67" t="inlineStr">
        <is>
          <t>23.03.2026</t>
        </is>
      </c>
      <c r="B67" s="94" t="inlineStr">
        <is>
          <t>Tron</t>
        </is>
      </c>
      <c r="C67" t="inlineStr">
        <is>
          <t>TRX-USD</t>
        </is>
      </c>
      <c r="D67" s="72" t="n">
        <v>0.31168</v>
      </c>
      <c r="E67" s="72" t="n">
        <v>0.294926</v>
      </c>
      <c r="F67" s="72" t="n">
        <v>0.287049</v>
      </c>
      <c r="G67" s="72" t="n">
        <v>0.30007</v>
      </c>
      <c r="H67" s="103" t="n">
        <v>74.27</v>
      </c>
      <c r="I67" t="inlineStr">
        <is>
          <t>Supravandut ▼</t>
        </is>
      </c>
      <c r="J67" s="74" t="n">
        <v>0.006559</v>
      </c>
      <c r="K67" s="74" t="n">
        <v>0.004524</v>
      </c>
      <c r="L67" s="74" t="n">
        <v>0.002035</v>
      </c>
      <c r="M67" t="inlineStr">
        <is>
          <t>Pozitiv</t>
        </is>
      </c>
      <c r="N67" s="72" t="n">
        <v>0.315021</v>
      </c>
      <c r="O67" s="72" t="n">
        <v>0.274831</v>
      </c>
      <c r="P67" s="72" t="n">
        <v>0.040191</v>
      </c>
      <c r="Q67" s="75" t="n">
        <v>0.005518</v>
      </c>
      <c r="R67" s="76" t="n">
        <v>95.31999999999999</v>
      </c>
      <c r="S67" s="76" t="n">
        <v>95.97</v>
      </c>
      <c r="T67" s="79" t="n">
        <v>788321600</v>
      </c>
      <c r="U67" s="61" t="n">
        <v>1.48</v>
      </c>
      <c r="V67" s="97" t="inlineStr">
        <is>
          <t>Bullish</t>
        </is>
      </c>
      <c r="W67" s="96" t="inlineStr">
        <is>
          <t>Death Cross</t>
        </is>
      </c>
    </row>
    <row r="68">
      <c r="A68" t="inlineStr">
        <is>
          <t>23.03.2026</t>
        </is>
      </c>
      <c r="B68" s="94" t="inlineStr">
        <is>
          <t>Filecoin</t>
        </is>
      </c>
      <c r="C68" t="inlineStr">
        <is>
          <t>FIL-USD</t>
        </is>
      </c>
      <c r="D68" s="72" t="n">
        <v>0.854691</v>
      </c>
      <c r="E68" s="72" t="n">
        <v>0.925986</v>
      </c>
      <c r="F68" s="72" t="n">
        <v>0.9505710000000001</v>
      </c>
      <c r="G68" s="72" t="n">
        <v>1.555252</v>
      </c>
      <c r="H68" s="98" t="n">
        <v>39.18</v>
      </c>
      <c r="I68" t="inlineStr">
        <is>
          <t>Slab</t>
        </is>
      </c>
      <c r="J68" s="74" t="n">
        <v>-0.027025</v>
      </c>
      <c r="K68" s="74" t="n">
        <v>-0.025654</v>
      </c>
      <c r="L68" s="74" t="n">
        <v>-0.001371</v>
      </c>
      <c r="M68" t="inlineStr">
        <is>
          <t>Bearish Cross</t>
        </is>
      </c>
      <c r="N68" s="72" t="n">
        <v>1.034125</v>
      </c>
      <c r="O68" s="72" t="n">
        <v>0.817847</v>
      </c>
      <c r="P68" s="72" t="n">
        <v>0.216278</v>
      </c>
      <c r="Q68" s="75" t="n">
        <v>0.056019</v>
      </c>
      <c r="R68" s="76" t="n">
        <v>5.53</v>
      </c>
      <c r="S68" s="76" t="n">
        <v>18.59</v>
      </c>
      <c r="T68" s="79" t="n">
        <v>96431528</v>
      </c>
      <c r="U68" s="61" t="n">
        <v>0.9</v>
      </c>
      <c r="V68" s="96" t="inlineStr">
        <is>
          <t>Bearish</t>
        </is>
      </c>
      <c r="W68" s="96" t="inlineStr">
        <is>
          <t>Death Cross</t>
        </is>
      </c>
    </row>
    <row r="69">
      <c r="A69" t="inlineStr">
        <is>
          <t>23.03.2026</t>
        </is>
      </c>
      <c r="B69" s="94" t="inlineStr">
        <is>
          <t>Aave</t>
        </is>
      </c>
      <c r="C69" t="inlineStr">
        <is>
          <t>AAVE-USD</t>
        </is>
      </c>
      <c r="D69" s="72" t="n">
        <v>106.973442</v>
      </c>
      <c r="E69" s="72" t="n">
        <v>112.244616</v>
      </c>
      <c r="F69" s="72" t="n">
        <v>115.693376</v>
      </c>
      <c r="G69" s="72" t="n">
        <v>187.294001</v>
      </c>
      <c r="H69" s="101" t="n">
        <v>51.76</v>
      </c>
      <c r="I69" t="inlineStr">
        <is>
          <t>Neutru</t>
        </is>
      </c>
      <c r="J69" s="74" t="n">
        <v>-2.100715</v>
      </c>
      <c r="K69" s="74" t="n">
        <v>-2.073128</v>
      </c>
      <c r="L69" s="74" t="n">
        <v>-0.027587</v>
      </c>
      <c r="M69" t="inlineStr">
        <is>
          <t>Bearish Cross</t>
        </is>
      </c>
      <c r="N69" s="72" t="n">
        <v>120.912146</v>
      </c>
      <c r="O69" s="72" t="n">
        <v>103.577085</v>
      </c>
      <c r="P69" s="72" t="n">
        <v>17.335061</v>
      </c>
      <c r="Q69" s="75" t="n">
        <v>5.691028</v>
      </c>
      <c r="R69" s="76" t="n">
        <v>9.94</v>
      </c>
      <c r="S69" s="76" t="n">
        <v>21.75</v>
      </c>
      <c r="T69" s="79" t="n">
        <v>299457280</v>
      </c>
      <c r="U69" s="61" t="n">
        <v>0.8100000000000001</v>
      </c>
      <c r="V69" s="96" t="inlineStr">
        <is>
          <t>Bearish</t>
        </is>
      </c>
      <c r="W69" s="96" t="inlineStr">
        <is>
          <t>Death Cross</t>
        </is>
      </c>
    </row>
    <row r="70">
      <c r="A70" t="inlineStr">
        <is>
          <t>23.03.2026</t>
        </is>
      </c>
      <c r="B70" s="94" t="inlineStr">
        <is>
          <t>Arbitrum</t>
        </is>
      </c>
      <c r="C70" t="inlineStr">
        <is>
          <t>ARB-USD</t>
        </is>
      </c>
      <c r="D70" s="72" t="n">
        <v>0.000899</v>
      </c>
      <c r="E70" s="72" t="n">
        <v>0.000899</v>
      </c>
      <c r="F70" s="72" t="n">
        <v>0.000899</v>
      </c>
      <c r="G70" s="72" t="n">
        <v>0.001065</v>
      </c>
      <c r="H70" s="103" t="n">
        <v>99.38</v>
      </c>
      <c r="I70" t="inlineStr">
        <is>
          <t>Supravandut ▼</t>
        </is>
      </c>
      <c r="J70" s="74" t="n">
        <v>-1e-06</v>
      </c>
      <c r="K70" s="74" t="n">
        <v>-1e-06</v>
      </c>
      <c r="L70" s="74" t="n">
        <v>0</v>
      </c>
      <c r="M70" t="inlineStr">
        <is>
          <t>Pozitiv</t>
        </is>
      </c>
      <c r="N70" s="72" t="n">
        <v>0.000899</v>
      </c>
      <c r="O70" s="72" t="n">
        <v>0.000899</v>
      </c>
      <c r="P70" s="72" t="n">
        <v>0</v>
      </c>
      <c r="Q70" s="75" t="n">
        <v>0</v>
      </c>
      <c r="R70" s="76" t="n">
        <v>100</v>
      </c>
      <c r="S70" s="76" t="n">
        <v>33.33</v>
      </c>
      <c r="T70" s="79" t="n">
        <v>8</v>
      </c>
      <c r="U70" s="61" t="n">
        <v>1</v>
      </c>
      <c r="V70" s="102" t="inlineStr">
        <is>
          <t>Sideways</t>
        </is>
      </c>
      <c r="W70" s="96" t="inlineStr">
        <is>
          <t>Death Cross</t>
        </is>
      </c>
    </row>
    <row r="71">
      <c r="A71" t="inlineStr">
        <is>
          <t>23.03.2026</t>
        </is>
      </c>
      <c r="B71" s="94" t="inlineStr">
        <is>
          <t>Optimism</t>
        </is>
      </c>
      <c r="C71" t="inlineStr">
        <is>
          <t>OP-USD</t>
        </is>
      </c>
      <c r="D71" s="72" t="n">
        <v>0.115524</v>
      </c>
      <c r="E71" s="72" t="n">
        <v>0.123199</v>
      </c>
      <c r="F71" s="72" t="n">
        <v>0.149132</v>
      </c>
      <c r="G71" s="72" t="n">
        <v>0.367333</v>
      </c>
      <c r="H71" s="101" t="n">
        <v>50.04</v>
      </c>
      <c r="I71" t="inlineStr">
        <is>
          <t>Neutru</t>
        </is>
      </c>
      <c r="J71" s="74" t="n">
        <v>-0.008074</v>
      </c>
      <c r="K71" s="74" t="n">
        <v>-0.010258</v>
      </c>
      <c r="L71" s="74" t="n">
        <v>0.002184</v>
      </c>
      <c r="M71" t="inlineStr">
        <is>
          <t>Pozitiv</t>
        </is>
      </c>
      <c r="N71" s="72" t="n">
        <v>0.135528</v>
      </c>
      <c r="O71" s="72" t="n">
        <v>0.110869</v>
      </c>
      <c r="P71" s="72" t="n">
        <v>0.02466</v>
      </c>
      <c r="Q71" s="75" t="n">
        <v>0.006373</v>
      </c>
      <c r="R71" s="76" t="n">
        <v>4.02</v>
      </c>
      <c r="S71" s="76" t="n">
        <v>19.64</v>
      </c>
      <c r="T71" s="79" t="n">
        <v>55561316</v>
      </c>
      <c r="U71" s="61" t="n">
        <v>0.8100000000000001</v>
      </c>
      <c r="V71" s="96" t="inlineStr">
        <is>
          <t>Bearish</t>
        </is>
      </c>
      <c r="W71" s="96" t="inlineStr">
        <is>
          <t>Death Cross</t>
        </is>
      </c>
    </row>
    <row r="72">
      <c r="A72" t="inlineStr">
        <is>
          <t>23.03.2026</t>
        </is>
      </c>
      <c r="B72" s="94" t="inlineStr">
        <is>
          <t>Render</t>
        </is>
      </c>
      <c r="C72" t="inlineStr">
        <is>
          <t>RNDR-USD</t>
        </is>
      </c>
      <c r="U72" s="61" t="n"/>
    </row>
    <row r="73">
      <c r="A73" t="inlineStr">
        <is>
          <t>23.03.2026</t>
        </is>
      </c>
      <c r="B73" s="94" t="inlineStr">
        <is>
          <t>Sui</t>
        </is>
      </c>
      <c r="C73" t="inlineStr">
        <is>
          <t>SUI-USD</t>
        </is>
      </c>
      <c r="U73" s="61" t="n"/>
    </row>
    <row r="74">
      <c r="A74" t="inlineStr">
        <is>
          <t>23.03.2026</t>
        </is>
      </c>
      <c r="B74" s="94" t="inlineStr">
        <is>
          <t>Near Protocol</t>
        </is>
      </c>
      <c r="C74" t="inlineStr">
        <is>
          <t>NEAR-USD</t>
        </is>
      </c>
      <c r="D74" s="72" t="n">
        <v>1.281799</v>
      </c>
      <c r="E74" s="72" t="n">
        <v>1.316553</v>
      </c>
      <c r="F74" s="72" t="n">
        <v>1.171793</v>
      </c>
      <c r="G74" s="72" t="n">
        <v>1.878951</v>
      </c>
      <c r="H74" s="101" t="n">
        <v>56.04</v>
      </c>
      <c r="I74" t="inlineStr">
        <is>
          <t>Puternic</t>
        </is>
      </c>
      <c r="J74" s="74" t="n">
        <v>0.037218</v>
      </c>
      <c r="K74" s="74" t="n">
        <v>0.047771</v>
      </c>
      <c r="L74" s="74" t="n">
        <v>-0.010553</v>
      </c>
      <c r="M74" t="inlineStr">
        <is>
          <t>Negativ</t>
        </is>
      </c>
      <c r="N74" s="72" t="n">
        <v>1.463241</v>
      </c>
      <c r="O74" s="72" t="n">
        <v>1.169866</v>
      </c>
      <c r="P74" s="72" t="n">
        <v>0.293375</v>
      </c>
      <c r="Q74" s="75" t="n">
        <v>0.07231</v>
      </c>
      <c r="R74" s="76" t="n">
        <v>24.08</v>
      </c>
      <c r="S74" s="76" t="n">
        <v>29.61</v>
      </c>
      <c r="T74" s="79" t="n">
        <v>113147472</v>
      </c>
      <c r="U74" s="61" t="n">
        <v>0.51</v>
      </c>
      <c r="V74" s="97" t="inlineStr">
        <is>
          <t>Bullish</t>
        </is>
      </c>
      <c r="W74" s="96" t="inlineStr">
        <is>
          <t>Death Cross</t>
        </is>
      </c>
    </row>
    <row r="75" ht="26" customHeight="1" s="113">
      <c r="A75" s="99" t="inlineStr">
        <is>
          <t>--- VALUTE FOREX ---</t>
        </is>
      </c>
      <c r="B75" s="100" t="n"/>
      <c r="C75" s="100" t="n"/>
      <c r="D75" s="100" t="n"/>
      <c r="E75" s="100" t="n"/>
      <c r="F75" s="100" t="n"/>
      <c r="G75" s="100" t="n"/>
      <c r="H75" s="100" t="n"/>
      <c r="I75" s="100" t="n"/>
      <c r="J75" s="100" t="n"/>
      <c r="K75" s="100" t="n"/>
      <c r="L75" s="100" t="n"/>
      <c r="M75" s="100" t="n"/>
      <c r="N75" s="100" t="n"/>
      <c r="O75" s="100" t="n"/>
      <c r="P75" s="100" t="n"/>
      <c r="Q75" s="100" t="n"/>
      <c r="R75" s="100" t="n"/>
      <c r="S75" s="100" t="n"/>
      <c r="T75" s="100" t="n"/>
      <c r="U75" s="100" t="n"/>
      <c r="V75" s="100" t="n"/>
      <c r="W75" s="100" t="n"/>
    </row>
    <row r="76">
      <c r="A76" t="inlineStr">
        <is>
          <t>23.03.2026</t>
        </is>
      </c>
      <c r="B76" s="94" t="inlineStr">
        <is>
          <t>EUR/USD</t>
        </is>
      </c>
      <c r="C76" t="inlineStr">
        <is>
          <t>EURUSD=X</t>
        </is>
      </c>
      <c r="D76" s="72" t="n">
        <v>1.156069</v>
      </c>
      <c r="E76" s="72" t="n">
        <v>1.161967</v>
      </c>
      <c r="F76" s="72" t="n">
        <v>1.172887</v>
      </c>
      <c r="G76" s="72" t="n">
        <v>1.167667</v>
      </c>
      <c r="H76" s="98" t="n">
        <v>41.53</v>
      </c>
      <c r="I76" t="inlineStr">
        <is>
          <t>Slab</t>
        </is>
      </c>
      <c r="J76" s="74" t="n">
        <v>-0.006843</v>
      </c>
      <c r="K76" s="74" t="n">
        <v>-0.006697</v>
      </c>
      <c r="L76" s="74" t="n">
        <v>-0.000146</v>
      </c>
      <c r="M76" t="inlineStr">
        <is>
          <t>Negativ</t>
        </is>
      </c>
      <c r="N76" s="72" t="n">
        <v>1.185429</v>
      </c>
      <c r="O76" s="72" t="n">
        <v>1.138505</v>
      </c>
      <c r="P76" s="72" t="n">
        <v>0.046924</v>
      </c>
      <c r="Q76" s="75" t="n">
        <v>0.009636</v>
      </c>
      <c r="R76" s="76" t="n">
        <v>58.44</v>
      </c>
      <c r="S76" s="76" t="n">
        <v>42.27</v>
      </c>
      <c r="T76" s="79" t="n">
        <v>0</v>
      </c>
      <c r="U76" s="61" t="n">
        <v>1</v>
      </c>
      <c r="V76" s="96" t="inlineStr">
        <is>
          <t>Bearish</t>
        </is>
      </c>
      <c r="W76" s="97" t="inlineStr">
        <is>
          <t>Golden Cross</t>
        </is>
      </c>
    </row>
    <row r="77">
      <c r="A77" t="inlineStr">
        <is>
          <t>23.03.2026</t>
        </is>
      </c>
      <c r="B77" s="94" t="inlineStr">
        <is>
          <t>GBP/USD</t>
        </is>
      </c>
      <c r="C77" t="inlineStr">
        <is>
          <t>GBPUSD=X</t>
        </is>
      </c>
      <c r="D77" s="72" t="n">
        <v>1.333508</v>
      </c>
      <c r="E77" s="72" t="n">
        <v>1.338842</v>
      </c>
      <c r="F77" s="72" t="n">
        <v>1.350363</v>
      </c>
      <c r="G77" s="72" t="n">
        <v>1.343525</v>
      </c>
      <c r="H77" s="98" t="n">
        <v>45.81</v>
      </c>
      <c r="I77" t="inlineStr">
        <is>
          <t>Neutru</t>
        </is>
      </c>
      <c r="J77" s="74" t="n">
        <v>-0.005089</v>
      </c>
      <c r="K77" s="74" t="n">
        <v>-0.005326</v>
      </c>
      <c r="L77" s="74" t="n">
        <v>0.000237</v>
      </c>
      <c r="M77" t="inlineStr">
        <is>
          <t>Pozitiv</t>
        </is>
      </c>
      <c r="N77" s="72" t="n">
        <v>1.354949</v>
      </c>
      <c r="O77" s="72" t="n">
        <v>1.322735</v>
      </c>
      <c r="P77" s="72" t="n">
        <v>0.032213</v>
      </c>
      <c r="Q77" s="75" t="n">
        <v>0.011427</v>
      </c>
      <c r="R77" s="76" t="n">
        <v>41.22</v>
      </c>
      <c r="S77" s="76" t="n">
        <v>43.98</v>
      </c>
      <c r="T77" s="79" t="n">
        <v>0</v>
      </c>
      <c r="U77" s="61" t="n">
        <v>1</v>
      </c>
      <c r="V77" s="96" t="inlineStr">
        <is>
          <t>Bearish</t>
        </is>
      </c>
      <c r="W77" s="97" t="inlineStr">
        <is>
          <t>Golden Cross</t>
        </is>
      </c>
    </row>
    <row r="78">
      <c r="A78" t="inlineStr">
        <is>
          <t>23.03.2026</t>
        </is>
      </c>
      <c r="B78" s="94" t="inlineStr">
        <is>
          <t>USD/JPY</t>
        </is>
      </c>
      <c r="C78" t="inlineStr">
        <is>
          <t>USDJPY=X</t>
        </is>
      </c>
      <c r="D78" s="72" t="n">
        <v>159.395004</v>
      </c>
      <c r="E78" s="72" t="n">
        <v>157.804999</v>
      </c>
      <c r="F78" s="72" t="n">
        <v>156.542579</v>
      </c>
      <c r="G78" s="72" t="n">
        <v>152.022365</v>
      </c>
      <c r="H78" s="101" t="n">
        <v>60.72</v>
      </c>
      <c r="I78" t="inlineStr">
        <is>
          <t>Puternic</t>
        </is>
      </c>
      <c r="J78" s="74" t="n">
        <v>0.937382</v>
      </c>
      <c r="K78" s="74" t="n">
        <v>0.860215</v>
      </c>
      <c r="L78" s="74" t="n">
        <v>0.077167</v>
      </c>
      <c r="M78" t="inlineStr">
        <is>
          <t>Pozitiv</t>
        </is>
      </c>
      <c r="N78" s="72" t="n">
        <v>160.673229</v>
      </c>
      <c r="O78" s="72" t="n">
        <v>154.936769</v>
      </c>
      <c r="P78" s="72" t="n">
        <v>5.736459</v>
      </c>
      <c r="Q78" s="75" t="n">
        <v>1.189855</v>
      </c>
      <c r="R78" s="76" t="n">
        <v>87.40000000000001</v>
      </c>
      <c r="S78" s="76" t="n">
        <v>76.73999999999999</v>
      </c>
      <c r="T78" s="79" t="n">
        <v>0</v>
      </c>
      <c r="U78" s="61" t="n">
        <v>1</v>
      </c>
      <c r="V78" s="97" t="inlineStr">
        <is>
          <t>Bullish</t>
        </is>
      </c>
      <c r="W78" s="97" t="inlineStr">
        <is>
          <t>Golden Cross</t>
        </is>
      </c>
    </row>
    <row r="79">
      <c r="A79" t="inlineStr">
        <is>
          <t>23.03.2026</t>
        </is>
      </c>
      <c r="B79" s="94" t="inlineStr">
        <is>
          <t>USD/CHF</t>
        </is>
      </c>
      <c r="C79" t="inlineStr">
        <is>
          <t>USDCHF=X</t>
        </is>
      </c>
      <c r="D79" s="72" t="n">
        <v>0.78815</v>
      </c>
      <c r="E79" s="72" t="n">
        <v>0.781014</v>
      </c>
      <c r="F79" s="72" t="n">
        <v>0.780091</v>
      </c>
      <c r="G79" s="72" t="n">
        <v>0.795289</v>
      </c>
      <c r="H79" s="101" t="n">
        <v>61.53</v>
      </c>
      <c r="I79" t="inlineStr">
        <is>
          <t>Puternic</t>
        </is>
      </c>
      <c r="J79" s="74" t="n">
        <v>0.003209</v>
      </c>
      <c r="K79" s="74" t="n">
        <v>0.001982</v>
      </c>
      <c r="L79" s="74" t="n">
        <v>0.001227</v>
      </c>
      <c r="M79" t="inlineStr">
        <is>
          <t>Pozitiv</t>
        </is>
      </c>
      <c r="N79" s="72" t="n">
        <v>0.794015</v>
      </c>
      <c r="O79" s="72" t="n">
        <v>0.768012</v>
      </c>
      <c r="P79" s="72" t="n">
        <v>0.026003</v>
      </c>
      <c r="Q79" s="75" t="n">
        <v>0.00589</v>
      </c>
      <c r="R79" s="76" t="n">
        <v>64.16</v>
      </c>
      <c r="S79" s="76" t="n">
        <v>73.28</v>
      </c>
      <c r="T79" s="79" t="n">
        <v>0</v>
      </c>
      <c r="U79" s="61" t="n">
        <v>1</v>
      </c>
      <c r="V79" s="97" t="inlineStr">
        <is>
          <t>Bullish</t>
        </is>
      </c>
      <c r="W79" s="96" t="inlineStr">
        <is>
          <t>Death Cross</t>
        </is>
      </c>
    </row>
    <row r="80">
      <c r="A80" t="inlineStr">
        <is>
          <t>23.03.2026</t>
        </is>
      </c>
      <c r="B80" s="94" t="inlineStr">
        <is>
          <t>AUD/USD</t>
        </is>
      </c>
      <c r="C80" t="inlineStr">
        <is>
          <t>AUDUSD=X</t>
        </is>
      </c>
      <c r="D80" s="72" t="n">
        <v>0.700006</v>
      </c>
      <c r="E80" s="72" t="n">
        <v>0.7064510000000001</v>
      </c>
      <c r="F80" s="72" t="n">
        <v>0.6987640000000001</v>
      </c>
      <c r="G80" s="72" t="n">
        <v>0.666502</v>
      </c>
      <c r="H80" s="98" t="n">
        <v>43.49</v>
      </c>
      <c r="I80" t="inlineStr">
        <is>
          <t>Slab</t>
        </is>
      </c>
      <c r="J80" s="74" t="n">
        <v>0.001329</v>
      </c>
      <c r="K80" s="74" t="n">
        <v>0.002498</v>
      </c>
      <c r="L80" s="74" t="n">
        <v>-0.001168</v>
      </c>
      <c r="M80" t="inlineStr">
        <is>
          <t>Negativ</t>
        </is>
      </c>
      <c r="N80" s="72" t="n">
        <v>0.715409</v>
      </c>
      <c r="O80" s="72" t="n">
        <v>0.697492</v>
      </c>
      <c r="P80" s="72" t="n">
        <v>0.017917</v>
      </c>
      <c r="Q80" s="75" t="n">
        <v>0.010451</v>
      </c>
      <c r="R80" s="76" t="n">
        <v>18.95</v>
      </c>
      <c r="S80" s="76" t="n">
        <v>36.93</v>
      </c>
      <c r="T80" s="79" t="n">
        <v>0</v>
      </c>
      <c r="U80" s="61" t="n">
        <v>1</v>
      </c>
      <c r="V80" s="102" t="inlineStr">
        <is>
          <t>Sideways</t>
        </is>
      </c>
      <c r="W80" s="97" t="inlineStr">
        <is>
          <t>Golden Cross</t>
        </is>
      </c>
    </row>
    <row r="81">
      <c r="A81" t="inlineStr">
        <is>
          <t>23.03.2026</t>
        </is>
      </c>
      <c r="B81" s="94" t="inlineStr">
        <is>
          <t>USD/CAD</t>
        </is>
      </c>
      <c r="C81" t="inlineStr">
        <is>
          <t>USDCAD=X</t>
        </is>
      </c>
      <c r="D81" s="72" t="n">
        <v>1.37077</v>
      </c>
      <c r="E81" s="72" t="n">
        <v>1.366689</v>
      </c>
      <c r="F81" s="72" t="n">
        <v>1.36871</v>
      </c>
      <c r="G81" s="72" t="n">
        <v>1.380032</v>
      </c>
      <c r="H81" s="101" t="n">
        <v>54.8</v>
      </c>
      <c r="I81" t="inlineStr">
        <is>
          <t>Neutru</t>
        </is>
      </c>
      <c r="J81" s="74" t="n">
        <v>0.000899</v>
      </c>
      <c r="K81" s="74" t="n">
        <v>-0.000353</v>
      </c>
      <c r="L81" s="74" t="n">
        <v>0.001252</v>
      </c>
      <c r="M81" t="inlineStr">
        <is>
          <t>Pozitiv</t>
        </is>
      </c>
      <c r="N81" s="72" t="n">
        <v>1.37572</v>
      </c>
      <c r="O81" s="72" t="n">
        <v>1.357659</v>
      </c>
      <c r="P81" s="72" t="n">
        <v>0.01806</v>
      </c>
      <c r="Q81" s="75" t="n">
        <v>0.007006</v>
      </c>
      <c r="R81" s="76" t="n">
        <v>82.11</v>
      </c>
      <c r="S81" s="76" t="n">
        <v>88.18000000000001</v>
      </c>
      <c r="T81" s="79" t="n">
        <v>0</v>
      </c>
      <c r="U81" s="61" t="n">
        <v>1</v>
      </c>
      <c r="V81" s="102" t="inlineStr">
        <is>
          <t>Sideways</t>
        </is>
      </c>
      <c r="W81" s="96" t="inlineStr">
        <is>
          <t>Death Cross</t>
        </is>
      </c>
    </row>
    <row r="82">
      <c r="A82" t="inlineStr">
        <is>
          <t>23.03.2026</t>
        </is>
      </c>
      <c r="B82" s="94" t="inlineStr">
        <is>
          <t>EUR/RON</t>
        </is>
      </c>
      <c r="C82" t="inlineStr">
        <is>
          <t>EURRON=X</t>
        </is>
      </c>
      <c r="D82" s="72" t="n">
        <v>5.088196</v>
      </c>
      <c r="E82" s="72" t="n">
        <v>5.08828</v>
      </c>
      <c r="F82" s="72" t="n">
        <v>5.08802</v>
      </c>
      <c r="G82" s="72" t="n">
        <v>5.080107</v>
      </c>
      <c r="H82" s="98" t="n">
        <v>46.24</v>
      </c>
      <c r="I82" t="inlineStr">
        <is>
          <t>Neutru</t>
        </is>
      </c>
      <c r="J82" s="74" t="n">
        <v>-0.000137</v>
      </c>
      <c r="K82" s="74" t="n">
        <v>-5e-05</v>
      </c>
      <c r="L82" s="74" t="n">
        <v>-8.6e-05</v>
      </c>
      <c r="M82" t="inlineStr">
        <is>
          <t>Negativ</t>
        </is>
      </c>
      <c r="N82" s="72" t="n">
        <v>5.092976</v>
      </c>
      <c r="O82" s="72" t="n">
        <v>5.083584</v>
      </c>
      <c r="P82" s="72" t="n">
        <v>0.009391999999999999</v>
      </c>
      <c r="Q82" s="75" t="n">
        <v>0.012031</v>
      </c>
      <c r="R82" s="76" t="n">
        <v>55.43</v>
      </c>
      <c r="S82" s="76" t="n">
        <v>43.16</v>
      </c>
      <c r="T82" s="79" t="n">
        <v>0</v>
      </c>
      <c r="U82" s="61" t="n">
        <v>1</v>
      </c>
      <c r="V82" s="102" t="inlineStr">
        <is>
          <t>Sideways</t>
        </is>
      </c>
      <c r="W82" s="97" t="inlineStr">
        <is>
          <t>Golden Cross</t>
        </is>
      </c>
    </row>
    <row r="83">
      <c r="A83" t="inlineStr">
        <is>
          <t>23.03.2026</t>
        </is>
      </c>
      <c r="B83" s="94" t="inlineStr">
        <is>
          <t>USD/RON</t>
        </is>
      </c>
      <c r="C83" t="inlineStr">
        <is>
          <t>USDRON=X</t>
        </is>
      </c>
      <c r="D83" s="72" t="n">
        <v>4.4017</v>
      </c>
      <c r="E83" s="72" t="n">
        <v>4.37715</v>
      </c>
      <c r="F83" s="72" t="n">
        <v>4.338646</v>
      </c>
      <c r="G83" s="72" t="n">
        <v>4.346775</v>
      </c>
      <c r="H83" s="101" t="n">
        <v>59.26</v>
      </c>
      <c r="I83" t="inlineStr">
        <is>
          <t>Puternic</t>
        </is>
      </c>
      <c r="J83" s="74" t="n">
        <v>0.025784</v>
      </c>
      <c r="K83" s="74" t="n">
        <v>0.02471</v>
      </c>
      <c r="L83" s="74" t="n">
        <v>0.001074</v>
      </c>
      <c r="M83" t="inlineStr">
        <is>
          <t>Pozitiv</t>
        </is>
      </c>
      <c r="N83" s="72" t="n">
        <v>4.466636</v>
      </c>
      <c r="O83" s="72" t="n">
        <v>4.287665</v>
      </c>
      <c r="P83" s="72" t="n">
        <v>0.178971</v>
      </c>
      <c r="Q83" s="75" t="n">
        <v>0.037893</v>
      </c>
      <c r="R83" s="76" t="n">
        <v>46.18</v>
      </c>
      <c r="S83" s="76" t="n">
        <v>57.48</v>
      </c>
      <c r="T83" s="79" t="n">
        <v>0</v>
      </c>
      <c r="U83" s="61" t="n">
        <v>1</v>
      </c>
      <c r="V83" s="97" t="inlineStr">
        <is>
          <t>Bullish</t>
        </is>
      </c>
      <c r="W83" s="96" t="inlineStr">
        <is>
          <t>Death Cross</t>
        </is>
      </c>
    </row>
    <row r="84">
      <c r="A84" t="inlineStr">
        <is>
          <t>23.03.2026</t>
        </is>
      </c>
      <c r="B84" s="94" t="inlineStr">
        <is>
          <t>GBP/RON</t>
        </is>
      </c>
      <c r="C84" t="inlineStr">
        <is>
          <t>GBPRON=X</t>
        </is>
      </c>
      <c r="D84" s="72" t="n">
        <v>5.871675</v>
      </c>
      <c r="E84" s="72" t="n">
        <v>5.863546</v>
      </c>
      <c r="F84" s="72" t="n">
        <v>5.858671</v>
      </c>
      <c r="G84" s="72" t="n">
        <v>5.835711</v>
      </c>
      <c r="H84" s="101" t="n">
        <v>61.59</v>
      </c>
      <c r="I84" t="inlineStr">
        <is>
          <t>Puternic</t>
        </is>
      </c>
      <c r="J84" s="74" t="n">
        <v>0.012193</v>
      </c>
      <c r="K84" s="74" t="n">
        <v>0.010386</v>
      </c>
      <c r="L84" s="74" t="n">
        <v>0.001808</v>
      </c>
      <c r="M84" t="inlineStr">
        <is>
          <t>Pozitiv</t>
        </is>
      </c>
      <c r="N84" s="72" t="n">
        <v>5.922587</v>
      </c>
      <c r="O84" s="72" t="n">
        <v>5.804506</v>
      </c>
      <c r="P84" s="72" t="n">
        <v>0.118081</v>
      </c>
      <c r="Q84" s="75" t="n">
        <v>0.028602</v>
      </c>
      <c r="R84" s="76" t="n">
        <v>42.34</v>
      </c>
      <c r="S84" s="76" t="n">
        <v>65.39</v>
      </c>
      <c r="T84" s="79" t="n">
        <v>0</v>
      </c>
      <c r="U84" s="61" t="n">
        <v>1</v>
      </c>
      <c r="V84" s="102" t="inlineStr">
        <is>
          <t>Sideways</t>
        </is>
      </c>
      <c r="W84" s="97" t="inlineStr">
        <is>
          <t>Golden Cross</t>
        </is>
      </c>
    </row>
    <row r="85">
      <c r="A85" t="inlineStr">
        <is>
          <t>23.03.2026</t>
        </is>
      </c>
      <c r="B85" s="94" t="inlineStr">
        <is>
          <t>EUR/GBP</t>
        </is>
      </c>
      <c r="C85" t="inlineStr">
        <is>
          <t>EURGBP=X</t>
        </is>
      </c>
      <c r="D85" s="72" t="n">
        <v>0.86661</v>
      </c>
      <c r="E85" s="72" t="n">
        <v>0.867804</v>
      </c>
      <c r="F85" s="72" t="n">
        <v>0.868511</v>
      </c>
      <c r="G85" s="72" t="n">
        <v>0.869093</v>
      </c>
      <c r="H85" s="98" t="n">
        <v>35.11</v>
      </c>
      <c r="I85" t="inlineStr">
        <is>
          <t>Slab</t>
        </is>
      </c>
      <c r="J85" s="74" t="n">
        <v>-0.001832</v>
      </c>
      <c r="K85" s="74" t="n">
        <v>-0.001555</v>
      </c>
      <c r="L85" s="74" t="n">
        <v>-0.000277</v>
      </c>
      <c r="M85" t="inlineStr">
        <is>
          <t>Negativ</t>
        </is>
      </c>
      <c r="N85" s="72" t="n">
        <v>0.876989</v>
      </c>
      <c r="O85" s="72" t="n">
        <v>0.858618</v>
      </c>
      <c r="P85" s="72" t="n">
        <v>0.018371</v>
      </c>
      <c r="Q85" s="75" t="n">
        <v>0.003443</v>
      </c>
      <c r="R85" s="76" t="n">
        <v>54.55</v>
      </c>
      <c r="S85" s="76" t="n">
        <v>27.13</v>
      </c>
      <c r="T85" s="79" t="n">
        <v>0</v>
      </c>
      <c r="U85" s="61" t="n">
        <v>1</v>
      </c>
      <c r="V85" s="102" t="inlineStr">
        <is>
          <t>Sideways</t>
        </is>
      </c>
      <c r="W85" s="96" t="inlineStr">
        <is>
          <t>Death Cross</t>
        </is>
      </c>
    </row>
    <row r="86">
      <c r="A86" t="inlineStr">
        <is>
          <t>23.03.2026</t>
        </is>
      </c>
      <c r="B86" s="94" t="inlineStr">
        <is>
          <t>USD/CNY</t>
        </is>
      </c>
      <c r="C86" t="inlineStr">
        <is>
          <t>USDCNY=X</t>
        </is>
      </c>
      <c r="D86" s="72" t="n">
        <v>6.8852</v>
      </c>
      <c r="E86" s="72" t="n">
        <v>6.887435</v>
      </c>
      <c r="F86" s="72" t="n">
        <v>6.919942</v>
      </c>
      <c r="G86" s="72" t="n">
        <v>7.072288</v>
      </c>
      <c r="H86" s="101" t="n">
        <v>50.54</v>
      </c>
      <c r="I86" t="inlineStr">
        <is>
          <t>Neutru</t>
        </is>
      </c>
      <c r="J86" s="74" t="n">
        <v>-0.007552</v>
      </c>
      <c r="K86" s="74" t="n">
        <v>-0.010521</v>
      </c>
      <c r="L86" s="74" t="n">
        <v>0.002969</v>
      </c>
      <c r="M86" t="inlineStr">
        <is>
          <t>Pozitiv</t>
        </is>
      </c>
      <c r="N86" s="72" t="n">
        <v>6.935215</v>
      </c>
      <c r="O86" s="72" t="n">
        <v>6.839655</v>
      </c>
      <c r="P86" s="72" t="n">
        <v>0.09556000000000001</v>
      </c>
      <c r="Q86" s="75" t="n">
        <v>0.028764</v>
      </c>
      <c r="R86" s="76" t="n">
        <v>21.89</v>
      </c>
      <c r="S86" s="76" t="n">
        <v>25.02</v>
      </c>
      <c r="T86" s="79" t="n">
        <v>0</v>
      </c>
      <c r="U86" s="61" t="n">
        <v>1</v>
      </c>
      <c r="V86" s="102" t="inlineStr">
        <is>
          <t>Sideways</t>
        </is>
      </c>
      <c r="W86" s="96" t="inlineStr">
        <is>
          <t>Death Cross</t>
        </is>
      </c>
    </row>
    <row r="87">
      <c r="A87" t="inlineStr">
        <is>
          <t>23.03.2026</t>
        </is>
      </c>
      <c r="B87" s="94" t="inlineStr">
        <is>
          <t>USD/TRY</t>
        </is>
      </c>
      <c r="C87" t="inlineStr">
        <is>
          <t>USDTRY=X</t>
        </is>
      </c>
      <c r="D87" s="72" t="n">
        <v>44.306099</v>
      </c>
      <c r="E87" s="72" t="n">
        <v>44.069519</v>
      </c>
      <c r="F87" s="72" t="n">
        <v>43.716414</v>
      </c>
      <c r="G87" s="72" t="n">
        <v>42.007861</v>
      </c>
      <c r="H87" s="103" t="n">
        <v>87.28</v>
      </c>
      <c r="I87" t="inlineStr">
        <is>
          <t>Supravandut ▼</t>
        </is>
      </c>
      <c r="J87" s="74" t="n">
        <v>0.172113</v>
      </c>
      <c r="K87" s="74" t="n">
        <v>0.167737</v>
      </c>
      <c r="L87" s="74" t="n">
        <v>0.004376</v>
      </c>
      <c r="M87" t="inlineStr">
        <is>
          <t>Pozitiv</t>
        </is>
      </c>
      <c r="N87" s="72" t="n">
        <v>44.374431</v>
      </c>
      <c r="O87" s="72" t="n">
        <v>43.764606</v>
      </c>
      <c r="P87" s="72" t="n">
        <v>0.609824</v>
      </c>
      <c r="Q87" s="75" t="n">
        <v>0.068496</v>
      </c>
      <c r="R87" s="76" t="n">
        <v>96.36</v>
      </c>
      <c r="S87" s="76" t="n">
        <v>97.3</v>
      </c>
      <c r="T87" s="79" t="n">
        <v>0</v>
      </c>
      <c r="U87" s="61" t="n">
        <v>1</v>
      </c>
      <c r="V87" s="97" t="inlineStr">
        <is>
          <t>Bullish</t>
        </is>
      </c>
      <c r="W87" s="97" t="inlineStr">
        <is>
          <t>Golden Cross</t>
        </is>
      </c>
    </row>
    <row r="88" ht="26" customHeight="1" s="113">
      <c r="A88" s="99" t="inlineStr">
        <is>
          <t>--- MATERII PRIME ---</t>
        </is>
      </c>
      <c r="B88" s="100" t="n"/>
      <c r="C88" s="100" t="n"/>
      <c r="D88" s="100" t="n"/>
      <c r="E88" s="100" t="n"/>
      <c r="F88" s="100" t="n"/>
      <c r="G88" s="100" t="n"/>
      <c r="H88" s="100" t="n"/>
      <c r="I88" s="100" t="n"/>
      <c r="J88" s="100" t="n"/>
      <c r="K88" s="100" t="n"/>
      <c r="L88" s="100" t="n"/>
      <c r="M88" s="100" t="n"/>
      <c r="N88" s="100" t="n"/>
      <c r="O88" s="100" t="n"/>
      <c r="P88" s="100" t="n"/>
      <c r="Q88" s="100" t="n"/>
      <c r="R88" s="100" t="n"/>
      <c r="S88" s="100" t="n"/>
      <c r="T88" s="100" t="n"/>
      <c r="U88" s="100" t="n"/>
      <c r="V88" s="100" t="n"/>
      <c r="W88" s="100" t="n"/>
    </row>
    <row r="89">
      <c r="A89" t="inlineStr">
        <is>
          <t>23.03.2026</t>
        </is>
      </c>
      <c r="B89" s="94" t="inlineStr">
        <is>
          <t>Gold</t>
        </is>
      </c>
      <c r="C89" t="inlineStr">
        <is>
          <t>GC=F</t>
        </is>
      </c>
      <c r="D89" s="72" t="n">
        <v>4431.799805</v>
      </c>
      <c r="E89" s="72" t="n">
        <v>5032.364966</v>
      </c>
      <c r="F89" s="72" t="n">
        <v>4951.449971</v>
      </c>
      <c r="G89" s="72" t="n">
        <v>4068.601987</v>
      </c>
      <c r="H89" s="95" t="n">
        <v>20.71</v>
      </c>
      <c r="I89" t="inlineStr">
        <is>
          <t>Supravendut ▲</t>
        </is>
      </c>
      <c r="J89" s="74" t="n">
        <v>-89.17399899999999</v>
      </c>
      <c r="K89" s="74" t="n">
        <v>-0.610473</v>
      </c>
      <c r="L89" s="74" t="n">
        <v>-88.56352699999999</v>
      </c>
      <c r="M89" t="inlineStr">
        <is>
          <t>Negativ</t>
        </is>
      </c>
      <c r="N89" s="72" t="n">
        <v>5503.15393</v>
      </c>
      <c r="O89" s="72" t="n">
        <v>4561.576001</v>
      </c>
      <c r="P89" s="72" t="n">
        <v>941.577929</v>
      </c>
      <c r="Q89" s="75" t="n">
        <v>119.507185</v>
      </c>
      <c r="R89" s="76" t="n">
        <v>12.1</v>
      </c>
      <c r="S89" s="76" t="n">
        <v>6.59</v>
      </c>
      <c r="T89" s="79" t="n">
        <v>49328</v>
      </c>
      <c r="U89" s="61" t="n">
        <v>14.73</v>
      </c>
      <c r="V89" s="96" t="inlineStr">
        <is>
          <t>Bearish</t>
        </is>
      </c>
      <c r="W89" s="97" t="inlineStr">
        <is>
          <t>Golden Cross</t>
        </is>
      </c>
    </row>
    <row r="90">
      <c r="A90" t="inlineStr">
        <is>
          <t>23.03.2026</t>
        </is>
      </c>
      <c r="B90" s="94" t="inlineStr">
        <is>
          <t>Silver</t>
        </is>
      </c>
      <c r="C90" t="inlineStr">
        <is>
          <t>SI=F</t>
        </is>
      </c>
      <c r="D90" s="72" t="n">
        <v>67.724998</v>
      </c>
      <c r="E90" s="72" t="n">
        <v>82.31005</v>
      </c>
      <c r="F90" s="72" t="n">
        <v>85.39552</v>
      </c>
      <c r="G90" s="72" t="n">
        <v>56.443495</v>
      </c>
      <c r="H90" s="95" t="n">
        <v>24.66</v>
      </c>
      <c r="I90" t="inlineStr">
        <is>
          <t>Supravendut ▲</t>
        </is>
      </c>
      <c r="J90" s="74" t="n">
        <v>-3.238466</v>
      </c>
      <c r="K90" s="74" t="n">
        <v>-1.334487</v>
      </c>
      <c r="L90" s="74" t="n">
        <v>-1.903979</v>
      </c>
      <c r="M90" t="inlineStr">
        <is>
          <t>Negativ</t>
        </is>
      </c>
      <c r="N90" s="72" t="n">
        <v>95.932711</v>
      </c>
      <c r="O90" s="72" t="n">
        <v>68.687389</v>
      </c>
      <c r="P90" s="72" t="n">
        <v>27.245321</v>
      </c>
      <c r="Q90" s="75" t="n">
        <v>4.379999</v>
      </c>
      <c r="R90" s="76" t="n">
        <v>11.69</v>
      </c>
      <c r="S90" s="76" t="n">
        <v>11.71</v>
      </c>
      <c r="T90" s="79" t="n">
        <v>11048</v>
      </c>
      <c r="U90" s="61" t="n">
        <v>3.47</v>
      </c>
      <c r="V90" s="96" t="inlineStr">
        <is>
          <t>Bearish</t>
        </is>
      </c>
      <c r="W90" s="97" t="inlineStr">
        <is>
          <t>Golden Cross</t>
        </is>
      </c>
    </row>
    <row r="91">
      <c r="A91" t="inlineStr">
        <is>
          <t>23.03.2026</t>
        </is>
      </c>
      <c r="B91" s="94" t="inlineStr">
        <is>
          <t>Platinum</t>
        </is>
      </c>
      <c r="C91" t="inlineStr">
        <is>
          <t>PL=F</t>
        </is>
      </c>
      <c r="D91" s="72" t="n">
        <v>1892.400024</v>
      </c>
      <c r="E91" s="72" t="n">
        <v>2139.925006</v>
      </c>
      <c r="F91" s="72" t="n">
        <v>2224.520002</v>
      </c>
      <c r="G91" s="72" t="n">
        <v>1710.1985</v>
      </c>
      <c r="H91" s="98" t="n">
        <v>38.68</v>
      </c>
      <c r="I91" t="inlineStr">
        <is>
          <t>Slab</t>
        </is>
      </c>
      <c r="J91" s="74" t="n">
        <v>-60.008797</v>
      </c>
      <c r="K91" s="74" t="n">
        <v>-33.597033</v>
      </c>
      <c r="L91" s="74" t="n">
        <v>-26.411764</v>
      </c>
      <c r="M91" t="inlineStr">
        <is>
          <t>Negativ</t>
        </is>
      </c>
      <c r="N91" s="72" t="n">
        <v>2389.253722</v>
      </c>
      <c r="O91" s="72" t="n">
        <v>1890.59629</v>
      </c>
      <c r="P91" s="72" t="n">
        <v>498.657432</v>
      </c>
      <c r="Q91" s="75" t="n">
        <v>65.914289</v>
      </c>
      <c r="R91" s="76" t="n">
        <v>17.35</v>
      </c>
      <c r="S91" s="76" t="n">
        <v>14.42</v>
      </c>
      <c r="T91" s="79" t="n">
        <v>3133</v>
      </c>
      <c r="U91" s="61" t="n">
        <v>16.07</v>
      </c>
      <c r="V91" s="96" t="inlineStr">
        <is>
          <t>Bearish</t>
        </is>
      </c>
      <c r="W91" s="97" t="inlineStr">
        <is>
          <t>Golden Cross</t>
        </is>
      </c>
    </row>
    <row r="92">
      <c r="A92" t="inlineStr">
        <is>
          <t>23.03.2026</t>
        </is>
      </c>
      <c r="B92" s="94" t="inlineStr">
        <is>
          <t>Palladium</t>
        </is>
      </c>
      <c r="C92" t="inlineStr">
        <is>
          <t>PA=F</t>
        </is>
      </c>
      <c r="D92" s="72" t="n">
        <v>1411</v>
      </c>
      <c r="E92" s="72" t="n">
        <v>1631.149988</v>
      </c>
      <c r="F92" s="72" t="n">
        <v>1741.223994</v>
      </c>
      <c r="G92" s="72" t="n">
        <v>1427.925998</v>
      </c>
      <c r="H92" s="95" t="n">
        <v>27.88</v>
      </c>
      <c r="I92" t="inlineStr">
        <is>
          <t>Supravendut ▲</t>
        </is>
      </c>
      <c r="J92" s="74" t="n">
        <v>-78.081022</v>
      </c>
      <c r="K92" s="74" t="n">
        <v>-54.738734</v>
      </c>
      <c r="L92" s="74" t="n">
        <v>-23.342288</v>
      </c>
      <c r="M92" t="inlineStr">
        <is>
          <t>Negativ</t>
        </is>
      </c>
      <c r="N92" s="72" t="n">
        <v>1876.75432</v>
      </c>
      <c r="O92" s="72" t="n">
        <v>1385.545656</v>
      </c>
      <c r="P92" s="72" t="n">
        <v>491.208665</v>
      </c>
      <c r="Q92" s="75" t="n">
        <v>47.321437</v>
      </c>
      <c r="R92" s="76" t="n">
        <v>10.58</v>
      </c>
      <c r="S92" s="76" t="n">
        <v>8</v>
      </c>
      <c r="T92" s="79" t="n">
        <v>928</v>
      </c>
      <c r="U92" s="61" t="n">
        <v>3.36</v>
      </c>
      <c r="V92" s="96" t="inlineStr">
        <is>
          <t>Bearish</t>
        </is>
      </c>
      <c r="W92" s="97" t="inlineStr">
        <is>
          <t>Golden Cross</t>
        </is>
      </c>
    </row>
    <row r="93">
      <c r="A93" t="inlineStr">
        <is>
          <t>23.03.2026</t>
        </is>
      </c>
      <c r="B93" s="94" t="inlineStr">
        <is>
          <t>Oil WTI</t>
        </is>
      </c>
      <c r="C93" t="inlineStr">
        <is>
          <t>CL=F</t>
        </is>
      </c>
      <c r="D93" s="72" t="n">
        <v>98.279999</v>
      </c>
      <c r="E93" s="72" t="n">
        <v>84.71599999999999</v>
      </c>
      <c r="F93" s="72" t="n">
        <v>71.51300000000001</v>
      </c>
      <c r="G93" s="72" t="n">
        <v>64.82885</v>
      </c>
      <c r="H93" s="103" t="n">
        <v>70.73</v>
      </c>
      <c r="I93" t="inlineStr">
        <is>
          <t>Supravandut ▼</t>
        </is>
      </c>
      <c r="J93" s="74" t="n">
        <v>8.474024999999999</v>
      </c>
      <c r="K93" s="74" t="n">
        <v>7.739455</v>
      </c>
      <c r="L93" s="74" t="n">
        <v>0.7345699999999999</v>
      </c>
      <c r="M93" t="inlineStr">
        <is>
          <t>Pozitiv</t>
        </is>
      </c>
      <c r="N93" s="72" t="n">
        <v>110.419118</v>
      </c>
      <c r="O93" s="72" t="n">
        <v>59.012882</v>
      </c>
      <c r="P93" s="72" t="n">
        <v>51.406236</v>
      </c>
      <c r="Q93" s="75" t="n">
        <v>10.662143</v>
      </c>
      <c r="R93" s="76" t="n">
        <v>54.11</v>
      </c>
      <c r="S93" s="76" t="n">
        <v>54.86</v>
      </c>
      <c r="T93" s="79" t="n">
        <v>43054</v>
      </c>
      <c r="U93" s="61" t="n">
        <v>0.08</v>
      </c>
      <c r="V93" s="97" t="inlineStr">
        <is>
          <t>Bullish</t>
        </is>
      </c>
      <c r="W93" s="97" t="inlineStr">
        <is>
          <t>Golden Cross</t>
        </is>
      </c>
    </row>
    <row r="94">
      <c r="A94" t="inlineStr">
        <is>
          <t>23.03.2026</t>
        </is>
      </c>
      <c r="B94" s="94" t="inlineStr">
        <is>
          <t>Oil Brent</t>
        </is>
      </c>
      <c r="C94" t="inlineStr">
        <is>
          <t>BZ=F</t>
        </is>
      </c>
      <c r="D94" s="72" t="n">
        <v>106.809998</v>
      </c>
      <c r="E94" s="72" t="n">
        <v>91.22450000000001</v>
      </c>
      <c r="F94" s="72" t="n">
        <v>76.9704</v>
      </c>
      <c r="G94" s="72" t="n">
        <v>68.73815</v>
      </c>
      <c r="H94" s="101" t="n">
        <v>69.73999999999999</v>
      </c>
      <c r="I94" t="inlineStr">
        <is>
          <t>Puternic</t>
        </is>
      </c>
      <c r="J94" s="74" t="n">
        <v>9.949693999999999</v>
      </c>
      <c r="K94" s="74" t="n">
        <v>8.527158999999999</v>
      </c>
      <c r="L94" s="74" t="n">
        <v>1.422535</v>
      </c>
      <c r="M94" t="inlineStr">
        <is>
          <t>Pozitiv</t>
        </is>
      </c>
      <c r="N94" s="72" t="n">
        <v>119.474828</v>
      </c>
      <c r="O94" s="72" t="n">
        <v>62.974173</v>
      </c>
      <c r="P94" s="72" t="n">
        <v>56.500655</v>
      </c>
      <c r="Q94" s="75" t="n">
        <v>10.736429</v>
      </c>
      <c r="R94" s="76" t="n">
        <v>67.8</v>
      </c>
      <c r="S94" s="76" t="n">
        <v>75.33</v>
      </c>
      <c r="T94" s="79" t="n">
        <v>5639</v>
      </c>
      <c r="U94" s="61" t="n">
        <v>0.05</v>
      </c>
      <c r="V94" s="97" t="inlineStr">
        <is>
          <t>Bullish</t>
        </is>
      </c>
      <c r="W94" s="97" t="inlineStr">
        <is>
          <t>Golden Cross</t>
        </is>
      </c>
    </row>
    <row r="95">
      <c r="A95" t="inlineStr">
        <is>
          <t>23.03.2026</t>
        </is>
      </c>
      <c r="B95" s="94" t="inlineStr">
        <is>
          <t>Natural Gas</t>
        </is>
      </c>
      <c r="C95" t="inlineStr">
        <is>
          <t>NG=F</t>
        </is>
      </c>
      <c r="D95" s="72" t="n">
        <v>3.041</v>
      </c>
      <c r="E95" s="72" t="n">
        <v>3.0413</v>
      </c>
      <c r="F95" s="72" t="n">
        <v>3.53296</v>
      </c>
      <c r="G95" s="72" t="n">
        <v>3.55358</v>
      </c>
      <c r="H95" s="98" t="n">
        <v>49.49</v>
      </c>
      <c r="I95" t="inlineStr">
        <is>
          <t>Neutru</t>
        </is>
      </c>
      <c r="J95" s="74" t="n">
        <v>-0.093019</v>
      </c>
      <c r="K95" s="74" t="n">
        <v>-0.131608</v>
      </c>
      <c r="L95" s="74" t="n">
        <v>0.038588</v>
      </c>
      <c r="M95" t="inlineStr">
        <is>
          <t>Pozitiv</t>
        </is>
      </c>
      <c r="N95" s="72" t="n">
        <v>3.267913</v>
      </c>
      <c r="O95" s="72" t="n">
        <v>2.814687</v>
      </c>
      <c r="P95" s="72" t="n">
        <v>0.453225</v>
      </c>
      <c r="Q95" s="75" t="n">
        <v>0.204286</v>
      </c>
      <c r="R95" s="76" t="n">
        <v>24.88</v>
      </c>
      <c r="S95" s="76" t="n">
        <v>35.46</v>
      </c>
      <c r="T95" s="79" t="n">
        <v>3049</v>
      </c>
      <c r="U95" s="61" t="n">
        <v>0.02</v>
      </c>
      <c r="V95" s="96" t="inlineStr">
        <is>
          <t>Bearish</t>
        </is>
      </c>
      <c r="W95" s="96" t="inlineStr">
        <is>
          <t>Death Cross</t>
        </is>
      </c>
    </row>
    <row r="96">
      <c r="A96" t="inlineStr">
        <is>
          <t>23.03.2026</t>
        </is>
      </c>
      <c r="B96" s="94" t="inlineStr">
        <is>
          <t>Copper</t>
        </is>
      </c>
      <c r="C96" t="inlineStr">
        <is>
          <t>HG=F</t>
        </is>
      </c>
      <c r="D96" s="72" t="n">
        <v>5.3345</v>
      </c>
      <c r="E96" s="72" t="n">
        <v>5.75785</v>
      </c>
      <c r="F96" s="72" t="n">
        <v>5.82226</v>
      </c>
      <c r="G96" s="72" t="n">
        <v>5.21428</v>
      </c>
      <c r="H96" s="95" t="n">
        <v>29.21</v>
      </c>
      <c r="I96" t="inlineStr">
        <is>
          <t>Supravendut ▲</t>
        </is>
      </c>
      <c r="J96" s="74" t="n">
        <v>-0.102455</v>
      </c>
      <c r="K96" s="74" t="n">
        <v>-0.044713</v>
      </c>
      <c r="L96" s="74" t="n">
        <v>-0.057742</v>
      </c>
      <c r="M96" t="inlineStr">
        <is>
          <t>Negativ</t>
        </is>
      </c>
      <c r="N96" s="72" t="n">
        <v>6.152406</v>
      </c>
      <c r="O96" s="72" t="n">
        <v>5.363294</v>
      </c>
      <c r="P96" s="72" t="n">
        <v>0.789111</v>
      </c>
      <c r="Q96" s="75" t="n">
        <v>0.155786</v>
      </c>
      <c r="R96" s="76" t="n">
        <v>13.38</v>
      </c>
      <c r="S96" s="76" t="n">
        <v>14.59</v>
      </c>
      <c r="T96" s="79" t="n">
        <v>11551</v>
      </c>
      <c r="U96" s="61" t="n">
        <v>3.34</v>
      </c>
      <c r="V96" s="96" t="inlineStr">
        <is>
          <t>Bearish</t>
        </is>
      </c>
      <c r="W96" s="97" t="inlineStr">
        <is>
          <t>Golden Cross</t>
        </is>
      </c>
    </row>
    <row r="97">
      <c r="A97" t="inlineStr">
        <is>
          <t>23.03.2026</t>
        </is>
      </c>
      <c r="B97" s="94" t="inlineStr">
        <is>
          <t>Corn</t>
        </is>
      </c>
      <c r="C97" t="inlineStr">
        <is>
          <t>ZC=F</t>
        </is>
      </c>
      <c r="D97" s="72" t="n">
        <v>468.5</v>
      </c>
      <c r="E97" s="72" t="n">
        <v>445.5875</v>
      </c>
      <c r="F97" s="72" t="n">
        <v>434.81</v>
      </c>
      <c r="G97" s="72" t="n">
        <v>422.55</v>
      </c>
      <c r="H97" s="103" t="n">
        <v>74.73</v>
      </c>
      <c r="I97" t="inlineStr">
        <is>
          <t>Supravandut ▼</t>
        </is>
      </c>
      <c r="J97" s="74" t="n">
        <v>9.128740000000001</v>
      </c>
      <c r="K97" s="74" t="n">
        <v>6.33612</v>
      </c>
      <c r="L97" s="74" t="n">
        <v>2.792619</v>
      </c>
      <c r="M97" t="inlineStr">
        <is>
          <t>Pozitiv</t>
        </is>
      </c>
      <c r="N97" s="72" t="n">
        <v>472.356627</v>
      </c>
      <c r="O97" s="72" t="n">
        <v>418.818373</v>
      </c>
      <c r="P97" s="72" t="n">
        <v>53.538255</v>
      </c>
      <c r="Q97" s="75" t="n">
        <v>9.517856999999999</v>
      </c>
      <c r="R97" s="76" t="n">
        <v>96.43000000000001</v>
      </c>
      <c r="S97" s="76" t="n">
        <v>95.04000000000001</v>
      </c>
      <c r="T97" s="79" t="n">
        <v>9612</v>
      </c>
      <c r="U97" s="61" t="n">
        <v>0.11</v>
      </c>
      <c r="V97" s="97" t="inlineStr">
        <is>
          <t>Bullish</t>
        </is>
      </c>
      <c r="W97" s="97" t="inlineStr">
        <is>
          <t>Golden Cross</t>
        </is>
      </c>
    </row>
    <row r="98">
      <c r="A98" t="inlineStr">
        <is>
          <t>23.03.2026</t>
        </is>
      </c>
      <c r="B98" s="94" t="inlineStr">
        <is>
          <t>Wheat</t>
        </is>
      </c>
      <c r="C98" t="inlineStr">
        <is>
          <t>ZW=F</t>
        </is>
      </c>
      <c r="D98" s="72" t="n">
        <v>602.25</v>
      </c>
      <c r="E98" s="72" t="n">
        <v>589.125</v>
      </c>
      <c r="F98" s="72" t="n">
        <v>554.355</v>
      </c>
      <c r="G98" s="72" t="n">
        <v>531.37</v>
      </c>
      <c r="H98" s="101" t="n">
        <v>58.47</v>
      </c>
      <c r="I98" t="inlineStr">
        <is>
          <t>Puternic</t>
        </is>
      </c>
      <c r="J98" s="74" t="n">
        <v>13.740928</v>
      </c>
      <c r="K98" s="74" t="n">
        <v>14.653908</v>
      </c>
      <c r="L98" s="74" t="n">
        <v>-0.91298</v>
      </c>
      <c r="M98" t="inlineStr">
        <is>
          <t>Negativ</t>
        </is>
      </c>
      <c r="N98" s="72" t="n">
        <v>620.520818</v>
      </c>
      <c r="O98" s="72" t="n">
        <v>557.729182</v>
      </c>
      <c r="P98" s="72" t="n">
        <v>62.791635</v>
      </c>
      <c r="Q98" s="75" t="n">
        <v>17.571429</v>
      </c>
      <c r="R98" s="76" t="n">
        <v>52.19</v>
      </c>
      <c r="S98" s="76" t="n">
        <v>51.58</v>
      </c>
      <c r="T98" s="79" t="n">
        <v>2125</v>
      </c>
      <c r="U98" s="61" t="n">
        <v>0.08</v>
      </c>
      <c r="V98" s="97" t="inlineStr">
        <is>
          <t>Bullish</t>
        </is>
      </c>
      <c r="W98" s="97" t="inlineStr">
        <is>
          <t>Golden Cross</t>
        </is>
      </c>
    </row>
    <row r="99">
      <c r="A99" t="inlineStr">
        <is>
          <t>23.03.2026</t>
        </is>
      </c>
      <c r="B99" s="94" t="inlineStr">
        <is>
          <t>Soybean</t>
        </is>
      </c>
      <c r="C99" t="inlineStr">
        <is>
          <t>ZS=F</t>
        </is>
      </c>
      <c r="D99" s="72" t="n">
        <v>1166</v>
      </c>
      <c r="E99" s="72" t="n">
        <v>1168.1875</v>
      </c>
      <c r="F99" s="72" t="n">
        <v>1119.06</v>
      </c>
      <c r="G99" s="72" t="n">
        <v>1063.0575</v>
      </c>
      <c r="H99" s="101" t="n">
        <v>53.38</v>
      </c>
      <c r="I99" t="inlineStr">
        <is>
          <t>Neutru</t>
        </is>
      </c>
      <c r="J99" s="74" t="n">
        <v>12.72792</v>
      </c>
      <c r="K99" s="74" t="n">
        <v>17.924174</v>
      </c>
      <c r="L99" s="74" t="n">
        <v>-5.196254</v>
      </c>
      <c r="M99" t="inlineStr">
        <is>
          <t>Negativ</t>
        </is>
      </c>
      <c r="N99" s="72" t="n">
        <v>1210.539681</v>
      </c>
      <c r="O99" s="72" t="n">
        <v>1125.835319</v>
      </c>
      <c r="P99" s="72" t="n">
        <v>84.704362</v>
      </c>
      <c r="Q99" s="75" t="n">
        <v>21.285714</v>
      </c>
      <c r="R99" s="76" t="n">
        <v>26.6</v>
      </c>
      <c r="S99" s="76" t="n">
        <v>25.64</v>
      </c>
      <c r="T99" s="79" t="n">
        <v>7042</v>
      </c>
      <c r="U99" s="61" t="n">
        <v>0.12</v>
      </c>
      <c r="V99" s="97" t="inlineStr">
        <is>
          <t>Bullish</t>
        </is>
      </c>
      <c r="W99" s="97" t="inlineStr">
        <is>
          <t>Golden Cross</t>
        </is>
      </c>
    </row>
    <row r="100">
      <c r="A100" t="inlineStr">
        <is>
          <t>23.03.2026</t>
        </is>
      </c>
      <c r="B100" s="94" t="inlineStr">
        <is>
          <t>Coffee</t>
        </is>
      </c>
      <c r="C100" t="inlineStr">
        <is>
          <t>KC=F</t>
        </is>
      </c>
      <c r="D100" s="72" t="n">
        <v>276.200012</v>
      </c>
      <c r="E100" s="72" t="n">
        <v>292.397502</v>
      </c>
      <c r="F100" s="72" t="n">
        <v>314.177</v>
      </c>
      <c r="G100" s="72" t="n">
        <v>350.22175</v>
      </c>
      <c r="H100" s="98" t="n">
        <v>43.03</v>
      </c>
      <c r="I100" t="inlineStr">
        <is>
          <t>Slab</t>
        </is>
      </c>
      <c r="J100" s="74" t="n">
        <v>-4.347211</v>
      </c>
      <c r="K100" s="74" t="n">
        <v>-5.790012</v>
      </c>
      <c r="L100" s="74" t="n">
        <v>1.442801</v>
      </c>
      <c r="M100" t="inlineStr">
        <is>
          <t>Pozitiv</t>
        </is>
      </c>
      <c r="N100" s="72" t="n">
        <v>307.901132</v>
      </c>
      <c r="O100" s="72" t="n">
        <v>276.893873</v>
      </c>
      <c r="P100" s="72" t="n">
        <v>31.007259</v>
      </c>
      <c r="Q100" s="75" t="n">
        <v>5.928569</v>
      </c>
      <c r="R100" s="76" t="n">
        <v>-40.04</v>
      </c>
      <c r="S100" s="76" t="n">
        <v>45.47</v>
      </c>
      <c r="T100" s="79" t="n">
        <v>24943</v>
      </c>
      <c r="U100" s="61" t="n">
        <v>11.71</v>
      </c>
      <c r="V100" s="96" t="inlineStr">
        <is>
          <t>Bearish</t>
        </is>
      </c>
      <c r="W100" s="96" t="inlineStr">
        <is>
          <t>Death Cross</t>
        </is>
      </c>
    </row>
    <row r="101">
      <c r="A101" t="inlineStr">
        <is>
          <t>23.03.2026</t>
        </is>
      </c>
      <c r="B101" s="94" t="inlineStr">
        <is>
          <t>Sugar</t>
        </is>
      </c>
      <c r="C101" t="inlineStr">
        <is>
          <t>SB=F</t>
        </is>
      </c>
      <c r="D101" s="72" t="n">
        <v>15.7</v>
      </c>
      <c r="E101" s="72" t="n">
        <v>14.4085</v>
      </c>
      <c r="F101" s="72" t="n">
        <v>14.4474</v>
      </c>
      <c r="G101" s="72" t="n">
        <v>15.3541</v>
      </c>
      <c r="H101" s="103" t="n">
        <v>77.37</v>
      </c>
      <c r="I101" t="inlineStr">
        <is>
          <t>Supravandut ▼</t>
        </is>
      </c>
      <c r="J101" s="74" t="n">
        <v>0.200343</v>
      </c>
      <c r="K101" s="74" t="n">
        <v>0.035328</v>
      </c>
      <c r="L101" s="74" t="n">
        <v>0.165014</v>
      </c>
      <c r="M101" t="inlineStr">
        <is>
          <t>Pozitiv</t>
        </is>
      </c>
      <c r="N101" s="72" t="n">
        <v>15.374213</v>
      </c>
      <c r="O101" s="72" t="n">
        <v>13.442787</v>
      </c>
      <c r="P101" s="72" t="n">
        <v>1.931425</v>
      </c>
      <c r="Q101" s="75" t="n">
        <v>0.395714</v>
      </c>
      <c r="R101" s="76" t="n">
        <v>99.05</v>
      </c>
      <c r="S101" s="76" t="n">
        <v>96.47</v>
      </c>
      <c r="T101" s="79" t="n">
        <v>172542</v>
      </c>
      <c r="U101" s="61" t="n">
        <v>2</v>
      </c>
      <c r="V101" s="97" t="inlineStr">
        <is>
          <t>Bullish</t>
        </is>
      </c>
      <c r="W101" s="96" t="inlineStr">
        <is>
          <t>Death Cross</t>
        </is>
      </c>
    </row>
    <row r="102">
      <c r="A102" t="inlineStr">
        <is>
          <t>23.03.2026</t>
        </is>
      </c>
      <c r="B102" s="94" t="inlineStr">
        <is>
          <t>Cotton</t>
        </is>
      </c>
      <c r="C102" t="inlineStr">
        <is>
          <t>CT=F</t>
        </is>
      </c>
      <c r="D102" s="72" t="n">
        <v>67.30999799999999</v>
      </c>
      <c r="E102" s="72" t="n">
        <v>64.848</v>
      </c>
      <c r="F102" s="72" t="n">
        <v>63.823</v>
      </c>
      <c r="G102" s="72" t="n">
        <v>64.4825</v>
      </c>
      <c r="H102" s="103" t="n">
        <v>76.05</v>
      </c>
      <c r="I102" t="inlineStr">
        <is>
          <t>Supravandut ▼</t>
        </is>
      </c>
      <c r="J102" s="74" t="n">
        <v>1.327632</v>
      </c>
      <c r="K102" s="74" t="n">
        <v>0.89714</v>
      </c>
      <c r="L102" s="74" t="n">
        <v>0.430492</v>
      </c>
      <c r="M102" t="inlineStr">
        <is>
          <t>Pozitiv</t>
        </is>
      </c>
      <c r="N102" s="72" t="n">
        <v>69.25328500000001</v>
      </c>
      <c r="O102" s="72" t="n">
        <v>60.442714</v>
      </c>
      <c r="P102" s="72" t="n">
        <v>8.810570999999999</v>
      </c>
      <c r="Q102" s="75" t="n">
        <v>1.081429</v>
      </c>
      <c r="R102" s="76" t="n">
        <v>77.56</v>
      </c>
      <c r="S102" s="76" t="n">
        <v>84.41</v>
      </c>
      <c r="T102" s="79" t="n">
        <v>41317</v>
      </c>
      <c r="U102" s="61" t="n">
        <v>1.98</v>
      </c>
      <c r="V102" s="97" t="inlineStr">
        <is>
          <t>Bullish</t>
        </is>
      </c>
      <c r="W102" s="96" t="inlineStr">
        <is>
          <t>Death Cross</t>
        </is>
      </c>
    </row>
  </sheetData>
  <mergeCells count="1">
    <mergeCell ref="A1:W1"/>
  </mergeCells>
  <conditionalFormatting sqref="G3:G200">
    <cfRule type="cellIs" priority="2" operator="lessThan" dxfId="2">
      <formula>30</formula>
    </cfRule>
    <cfRule type="cellIs" priority="3" operator="between" dxfId="0">
      <formula>30</formula>
      <formula>50</formula>
    </cfRule>
    <cfRule type="cellIs" priority="4" operator="between" dxfId="57">
      <formula>50</formula>
      <formula>70</formula>
    </cfRule>
    <cfRule type="cellIs" priority="5" operator="greaterThan" dxfId="1">
      <formula>70</formula>
    </cfRule>
  </conditionalFormatting>
  <conditionalFormatting sqref="H3:H200">
    <cfRule type="cellIs" priority="6" operator="equal" dxfId="2">
      <formula>"Activ"</formula>
    </cfRule>
    <cfRule type="cellIs" priority="7" operator="equal" dxfId="2">
      <formula>"Pozitiv"</formula>
    </cfRule>
    <cfRule type="cellIs" priority="8" operator="equal" dxfId="0">
      <formula>"Executat"</formula>
    </cfRule>
    <cfRule type="cellIs" priority="9" operator="equal" dxfId="1">
      <formula>"Expirat"</formula>
    </cfRule>
    <cfRule type="cellIs" priority="10" operator="equal" dxfId="1">
      <formula>"Negativ"</formula>
    </cfRule>
    <cfRule type="cellIs" priority="11" operator="equal" dxfId="0">
      <formula>"Neutru"</formula>
    </cfRule>
  </conditionalFormatting>
  <conditionalFormatting sqref="T3:T200">
    <cfRule type="cellIs" priority="12" operator="equal" dxfId="2">
      <formula>"Bullish"</formula>
    </cfRule>
    <cfRule type="cellIs" priority="13" operator="equal" dxfId="1">
      <formula>"Bearish"</formula>
    </cfRule>
    <cfRule type="cellIs" priority="14" operator="equal" dxfId="0">
      <formula>"Sideways"</formula>
    </cfRule>
  </conditionalFormatting>
  <dataValidations count="1">
    <dataValidation sqref="T3:T200" showDropDown="0" showInputMessage="0" showErrorMessage="0" allowBlank="1" type="list">
      <formula1>"Bullish,Bearish,Sideways"</formula1>
      <formula2>0</formula2>
    </dataValidation>
  </dataValidations>
  <pageMargins left="0.75" right="0.75" top="1" bottom="1" header="0.511811023622047" footer="0.511811023622047"/>
  <pageSetup orientation="portrait" paperSize="9" scale="30" horizontalDpi="300" verticalDpi="300"/>
</worksheet>
</file>

<file path=xl/worksheets/sheet5.xml><?xml version="1.0" encoding="utf-8"?>
<worksheet xmlns="http://schemas.openxmlformats.org/spreadsheetml/2006/main">
  <sheetPr>
    <tabColor rgb="FF808080"/>
    <outlinePr summaryBelow="1" summaryRight="1"/>
    <pageSetUpPr/>
  </sheetPr>
  <dimension ref="A1:N18"/>
  <sheetViews>
    <sheetView view="pageBreakPreview" zoomScale="60" zoomScaleNormal="100" workbookViewId="0">
      <pane xSplit="1" ySplit="2" topLeftCell="B3" activePane="bottomRight" state="frozen"/>
      <selection pane="topRight" activeCell="B1" sqref="B1"/>
      <selection pane="bottomLeft" activeCell="A3" sqref="A3"/>
      <selection pane="bottomRight" activeCell="I16" sqref="I16"/>
    </sheetView>
  </sheetViews>
  <sheetFormatPr baseColWidth="8" defaultColWidth="8.6328125" defaultRowHeight="14.5"/>
  <cols>
    <col width="25" customWidth="1" style="113" min="1" max="1"/>
    <col width="14" customWidth="1" style="113" min="2" max="3"/>
    <col width="10" customWidth="1" style="113" min="4" max="4"/>
    <col width="8" customWidth="1" style="113" min="5" max="5"/>
    <col width="10" customWidth="1" style="113" min="6" max="6"/>
    <col width="12" customWidth="1" style="113" min="7" max="8"/>
    <col width="14" customWidth="1" style="113" min="9" max="9"/>
    <col width="12" customWidth="1" style="113" min="10" max="10"/>
    <col width="10" customWidth="1" style="113" min="11" max="12"/>
    <col width="30" customWidth="1" style="113" min="13" max="13"/>
  </cols>
  <sheetData>
    <row r="1" ht="34.5" customHeight="1" s="113">
      <c r="A1" s="155" t="inlineStr">
        <is>
          <t>🌍 INDICATORI MACROECONOMICI</t>
        </is>
      </c>
    </row>
    <row r="2" ht="23.25" customHeight="1" s="113">
      <c r="A2" s="143" t="inlineStr">
        <is>
          <t>Indicator</t>
        </is>
      </c>
      <c r="B2" s="143" t="inlineStr">
        <is>
          <t>Valoare curentă</t>
        </is>
      </c>
      <c r="C2" s="143" t="inlineStr">
        <is>
          <t>Valoare anterioară</t>
        </is>
      </c>
      <c r="D2" s="143" t="inlineStr">
        <is>
          <t>Δ Absolut</t>
        </is>
      </c>
      <c r="E2" s="143" t="inlineStr">
        <is>
          <t>Δ %</t>
        </is>
      </c>
      <c r="F2" s="143" t="inlineStr">
        <is>
          <t>Consens</t>
        </is>
      </c>
      <c r="G2" s="143" t="inlineStr">
        <is>
          <t>Dev. vs Estimare</t>
        </is>
      </c>
      <c r="H2" s="143" t="inlineStr">
        <is>
          <t>Impact piață</t>
        </is>
      </c>
      <c r="I2" s="143" t="inlineStr">
        <is>
          <t>Data publicare</t>
        </is>
      </c>
      <c r="J2" s="143" t="inlineStr">
        <is>
          <t>Frecvență</t>
        </is>
      </c>
      <c r="K2" s="143" t="inlineStr">
        <is>
          <t>Trending</t>
        </is>
      </c>
      <c r="L2" s="143" t="inlineStr">
        <is>
          <t>Status</t>
        </is>
      </c>
      <c r="M2" s="143" t="inlineStr">
        <is>
          <t>Note</t>
        </is>
      </c>
    </row>
    <row r="3" ht="15" customHeight="1" s="113">
      <c r="A3" s="2" t="inlineStr">
        <is>
          <t>PIB YoY (%)</t>
        </is>
      </c>
      <c r="B3" s="14" t="n">
        <v>2.8</v>
      </c>
      <c r="C3" s="14" t="n">
        <v>2.4</v>
      </c>
      <c r="D3" s="161">
        <f>IFERROR(C3-B3,"")</f>
        <v/>
      </c>
      <c r="E3" s="162">
        <f>IFERROR((C3-B3)/ABS(B3),"")</f>
        <v/>
      </c>
      <c r="F3" s="14" t="n">
        <v>2.6</v>
      </c>
      <c r="G3" s="8" t="n"/>
      <c r="H3" s="16" t="inlineStr">
        <is>
          <t>Pozitiv</t>
        </is>
      </c>
      <c r="I3" s="130" t="inlineStr">
        <is>
          <t>28.03.2025</t>
        </is>
      </c>
      <c r="J3" s="130" t="inlineStr">
        <is>
          <t>Trimestrial</t>
        </is>
      </c>
      <c r="K3" s="130" t="inlineStr">
        <is>
          <t>↑</t>
        </is>
      </c>
      <c r="L3" s="8" t="inlineStr">
        <is>
          <t>Pozitiv</t>
        </is>
      </c>
      <c r="M3" s="137" t="inlineStr">
        <is>
          <t>Peste asteptari</t>
        </is>
      </c>
    </row>
    <row r="4" ht="29" customHeight="1" s="113">
      <c r="A4" s="2" t="inlineStr">
        <is>
          <t>CPI YoY (%)</t>
        </is>
      </c>
      <c r="B4" s="14" t="n">
        <v>327.46</v>
      </c>
      <c r="C4" s="14" t="n">
        <v>3.2</v>
      </c>
      <c r="D4" s="161">
        <f>IFERROR(C4-B4,"")</f>
        <v/>
      </c>
      <c r="E4" s="162">
        <f>IFERROR((C4-B4)/ABS(B4),"")</f>
        <v/>
      </c>
      <c r="F4" s="14" t="n">
        <v>3.3</v>
      </c>
      <c r="G4" s="8" t="n"/>
      <c r="H4" s="16" t="inlineStr">
        <is>
          <t>Neutru</t>
        </is>
      </c>
      <c r="I4" s="130" t="inlineStr">
        <is>
          <t>23.03.2026 03:29</t>
        </is>
      </c>
      <c r="J4" s="130" t="inlineStr">
        <is>
          <t>Lunar</t>
        </is>
      </c>
      <c r="K4" s="130" t="inlineStr">
        <is>
          <t>↓</t>
        </is>
      </c>
      <c r="L4" s="8" t="inlineStr">
        <is>
          <t>Neutru</t>
        </is>
      </c>
      <c r="M4" s="137" t="inlineStr">
        <is>
          <t>In scadere</t>
        </is>
      </c>
    </row>
    <row r="5" ht="29" customHeight="1" s="113">
      <c r="A5" s="2" t="inlineStr">
        <is>
          <t>Core CPI (%)</t>
        </is>
      </c>
      <c r="B5" s="14" t="n">
        <v>327.46</v>
      </c>
      <c r="C5" s="14" t="n">
        <v>3.8</v>
      </c>
      <c r="D5" s="161">
        <f>IFERROR(C5-B5,"")</f>
        <v/>
      </c>
      <c r="E5" s="162">
        <f>IFERROR((C5-B5)/ABS(B5),"")</f>
        <v/>
      </c>
      <c r="F5" s="14" t="n">
        <v>3.7</v>
      </c>
      <c r="G5" s="8" t="n"/>
      <c r="H5" s="16" t="inlineStr">
        <is>
          <t>Neutru</t>
        </is>
      </c>
      <c r="I5" s="130" t="inlineStr">
        <is>
          <t>23.03.2026 03:29</t>
        </is>
      </c>
      <c r="J5" s="130" t="inlineStr">
        <is>
          <t>Lunar</t>
        </is>
      </c>
      <c r="K5" s="130" t="inlineStr">
        <is>
          <t>↓</t>
        </is>
      </c>
      <c r="L5" s="8" t="inlineStr">
        <is>
          <t>Neutru</t>
        </is>
      </c>
      <c r="M5" s="137" t="inlineStr">
        <is>
          <t>Persistent ridicat</t>
        </is>
      </c>
    </row>
    <row r="6" ht="15" customHeight="1" s="113">
      <c r="A6" s="2" t="inlineStr">
        <is>
          <t>Rata dobânzii (%)</t>
        </is>
      </c>
      <c r="B6" s="14" t="n">
        <v>3.64</v>
      </c>
      <c r="C6" s="14" t="n">
        <v>5.25</v>
      </c>
      <c r="D6" s="161">
        <f>IFERROR(C6-B6,"")</f>
        <v/>
      </c>
      <c r="E6" s="162">
        <f>IFERROR((C6-B6)/ABS(B6),"")</f>
        <v/>
      </c>
      <c r="F6" s="14" t="n">
        <v>5.25</v>
      </c>
      <c r="G6" s="8" t="n"/>
      <c r="H6" s="16" t="inlineStr">
        <is>
          <t>Neutru</t>
        </is>
      </c>
      <c r="I6" s="130" t="inlineStr">
        <is>
          <t>23.03.2026</t>
        </is>
      </c>
      <c r="J6" s="130" t="inlineStr">
        <is>
          <t>FOMC</t>
        </is>
      </c>
      <c r="K6" s="130" t="inlineStr">
        <is>
          <t>→</t>
        </is>
      </c>
      <c r="L6" s="8" t="inlineStr">
        <is>
          <t>Neutru</t>
        </is>
      </c>
      <c r="M6" s="137" t="inlineStr">
        <is>
          <t>Fed mentine</t>
        </is>
      </c>
    </row>
    <row r="7" ht="15" customHeight="1" s="113">
      <c r="A7" s="2" t="inlineStr">
        <is>
          <t>Rata șomajului (%)</t>
        </is>
      </c>
      <c r="B7" s="14" t="n">
        <v>3.9</v>
      </c>
      <c r="C7" s="14" t="n">
        <v>3.7</v>
      </c>
      <c r="D7" s="161">
        <f>IFERROR(C7-B7,"")</f>
        <v/>
      </c>
      <c r="E7" s="162">
        <f>IFERROR((C7-B7)/ABS(B7),"")</f>
        <v/>
      </c>
      <c r="F7" s="14" t="n">
        <v>3.8</v>
      </c>
      <c r="G7" s="8" t="n"/>
      <c r="H7" s="16" t="inlineStr">
        <is>
          <t>Negativ</t>
        </is>
      </c>
      <c r="I7" s="130" t="inlineStr">
        <is>
          <t>07.03.2025</t>
        </is>
      </c>
      <c r="J7" s="130" t="inlineStr">
        <is>
          <t>Lunar</t>
        </is>
      </c>
      <c r="K7" s="130" t="inlineStr">
        <is>
          <t>↑</t>
        </is>
      </c>
      <c r="L7" s="8" t="inlineStr">
        <is>
          <t>Negativ</t>
        </is>
      </c>
      <c r="M7" s="137" t="inlineStr">
        <is>
          <t>Usoara deteriorare</t>
        </is>
      </c>
    </row>
    <row r="8" ht="15" customHeight="1" s="113">
      <c r="A8" s="2" t="inlineStr">
        <is>
          <t>PMI Manufacturing</t>
        </is>
      </c>
      <c r="B8" s="14" t="n">
        <v>50.3</v>
      </c>
      <c r="C8" s="14" t="n">
        <v>47.8</v>
      </c>
      <c r="D8" s="161">
        <f>IFERROR(C8-B8,"")</f>
        <v/>
      </c>
      <c r="E8" s="162">
        <f>IFERROR((C8-B8)/ABS(B8),"")</f>
        <v/>
      </c>
      <c r="F8" s="14" t="n">
        <v>49.5</v>
      </c>
      <c r="G8" s="8" t="n"/>
      <c r="H8" s="16" t="inlineStr">
        <is>
          <t>Pozitiv</t>
        </is>
      </c>
      <c r="I8" s="130" t="inlineStr">
        <is>
          <t>01.03.2025</t>
        </is>
      </c>
      <c r="J8" s="130" t="inlineStr">
        <is>
          <t>Lunar</t>
        </is>
      </c>
      <c r="K8" s="130" t="inlineStr">
        <is>
          <t>↑</t>
        </is>
      </c>
      <c r="L8" s="8" t="inlineStr">
        <is>
          <t>Pozitiv</t>
        </is>
      </c>
      <c r="M8" s="137" t="inlineStr">
        <is>
          <t>Revenire expansiune</t>
        </is>
      </c>
    </row>
    <row r="9" ht="15" customHeight="1" s="113">
      <c r="A9" s="2" t="inlineStr">
        <is>
          <t>PMI Services</t>
        </is>
      </c>
      <c r="B9" s="14" t="n">
        <v>52.7</v>
      </c>
      <c r="C9" s="14" t="n">
        <v>52.3</v>
      </c>
      <c r="D9" s="161">
        <f>IFERROR(C9-B9,"")</f>
        <v/>
      </c>
      <c r="E9" s="162">
        <f>IFERROR((C9-B9)/ABS(B9),"")</f>
        <v/>
      </c>
      <c r="F9" s="14" t="n">
        <v>52</v>
      </c>
      <c r="G9" s="8" t="n"/>
      <c r="H9" s="16" t="inlineStr">
        <is>
          <t>Pozitiv</t>
        </is>
      </c>
      <c r="I9" s="130" t="inlineStr">
        <is>
          <t>05.03.2025</t>
        </is>
      </c>
      <c r="J9" s="130" t="inlineStr">
        <is>
          <t>Lunar</t>
        </is>
      </c>
      <c r="K9" s="130" t="inlineStr">
        <is>
          <t>↑</t>
        </is>
      </c>
      <c r="L9" s="8" t="inlineStr">
        <is>
          <t>Pozitiv</t>
        </is>
      </c>
      <c r="M9" s="137" t="inlineStr">
        <is>
          <t>Solid</t>
        </is>
      </c>
    </row>
    <row r="10" ht="15" customHeight="1" s="113">
      <c r="A10" s="2" t="inlineStr">
        <is>
          <t>Retail Sales MoM (%)</t>
        </is>
      </c>
      <c r="B10" s="14" t="n">
        <v>0.6</v>
      </c>
      <c r="C10" s="14" t="n">
        <v>0.3</v>
      </c>
      <c r="D10" s="161">
        <f>IFERROR(C10-B10,"")</f>
        <v/>
      </c>
      <c r="E10" s="162">
        <f>IFERROR((C10-B10)/ABS(B10),"")</f>
        <v/>
      </c>
      <c r="F10" s="14" t="n">
        <v>0.4</v>
      </c>
      <c r="G10" s="8" t="n"/>
      <c r="H10" s="16" t="inlineStr">
        <is>
          <t>Pozitiv</t>
        </is>
      </c>
      <c r="I10" s="130" t="inlineStr">
        <is>
          <t>15.03.2025</t>
        </is>
      </c>
      <c r="J10" s="130" t="inlineStr">
        <is>
          <t>Lunar</t>
        </is>
      </c>
      <c r="K10" s="130" t="inlineStr">
        <is>
          <t>↑</t>
        </is>
      </c>
      <c r="L10" s="8" t="inlineStr">
        <is>
          <t>Pozitiv</t>
        </is>
      </c>
      <c r="M10" s="137" t="inlineStr">
        <is>
          <t>Consum solid</t>
        </is>
      </c>
    </row>
    <row r="11">
      <c r="A11" s="2" t="inlineStr">
        <is>
          <t>Balanță comercială ($B)</t>
        </is>
      </c>
      <c r="B11" s="14" t="n">
        <v>-68.90000000000001</v>
      </c>
      <c r="C11" s="14" t="n">
        <v>-67.40000000000001</v>
      </c>
      <c r="D11" s="161">
        <f>IFERROR(C11-B11,"")</f>
        <v/>
      </c>
      <c r="E11" s="162">
        <f>IFERROR((C11-B11)/ABS(B11),"")</f>
        <v/>
      </c>
      <c r="F11" s="14" t="n">
        <v>-70</v>
      </c>
      <c r="G11" s="8" t="n"/>
      <c r="H11" s="16" t="inlineStr">
        <is>
          <t>Neutru</t>
        </is>
      </c>
      <c r="I11" s="130" t="inlineStr">
        <is>
          <t>06.03.2025</t>
        </is>
      </c>
      <c r="J11" s="130" t="inlineStr">
        <is>
          <t>Lunar</t>
        </is>
      </c>
      <c r="K11" s="130" t="inlineStr">
        <is>
          <t>↓</t>
        </is>
      </c>
      <c r="L11" s="8" t="inlineStr">
        <is>
          <t>Neutru</t>
        </is>
      </c>
      <c r="M11" s="137" t="inlineStr">
        <is>
          <t>Deficit in scadere</t>
        </is>
      </c>
    </row>
    <row r="12" ht="29" customHeight="1" s="113">
      <c r="A12" s="2" t="inlineStr">
        <is>
          <t>USD Index (DXY)</t>
        </is>
      </c>
      <c r="B12" s="14" t="n">
        <v>99.571</v>
      </c>
      <c r="C12" s="14" t="n">
        <v>99.578</v>
      </c>
      <c r="D12" s="161">
        <f>IFERROR(C12-B12,"")</f>
        <v/>
      </c>
      <c r="E12" s="162">
        <f>IFERROR((C12-B12)/ABS(B12),"")</f>
        <v/>
      </c>
      <c r="F12" s="14" t="n"/>
      <c r="G12" s="8" t="n"/>
      <c r="H12" s="16" t="inlineStr">
        <is>
          <t>Neutru</t>
        </is>
      </c>
      <c r="I12" s="130" t="inlineStr">
        <is>
          <t>23.03.2026 03:29</t>
        </is>
      </c>
      <c r="J12" s="130" t="inlineStr">
        <is>
          <t>Zilnic</t>
        </is>
      </c>
      <c r="K12" s="130" t="inlineStr">
        <is>
          <t>↑</t>
        </is>
      </c>
      <c r="L12" s="8" t="inlineStr">
        <is>
          <t>Neutru</t>
        </is>
      </c>
      <c r="M12" s="137" t="inlineStr">
        <is>
          <t>USD intarit</t>
        </is>
      </c>
    </row>
    <row r="13" ht="15" customHeight="1" s="113">
      <c r="A13" s="2" t="inlineStr">
        <is>
          <t>EUR/USD</t>
        </is>
      </c>
      <c r="B13" s="14" t="n">
        <v>1.085</v>
      </c>
      <c r="C13" s="14" t="n">
        <v>1.092</v>
      </c>
      <c r="D13" s="161">
        <f>IFERROR(C13-B13,"")</f>
        <v/>
      </c>
      <c r="E13" s="162">
        <f>IFERROR((C13-B13)/ABS(B13),"")</f>
        <v/>
      </c>
      <c r="F13" s="14" t="n"/>
      <c r="G13" s="8" t="n"/>
      <c r="H13" s="16" t="inlineStr">
        <is>
          <t>Neutru</t>
        </is>
      </c>
      <c r="I13" s="130" t="inlineStr">
        <is>
          <t>22.03.2026</t>
        </is>
      </c>
      <c r="J13" s="130" t="inlineStr">
        <is>
          <t>Zilnic</t>
        </is>
      </c>
      <c r="K13" s="130" t="inlineStr">
        <is>
          <t>↓</t>
        </is>
      </c>
      <c r="L13" s="8" t="inlineStr">
        <is>
          <t>Neutru</t>
        </is>
      </c>
      <c r="M13" s="137" t="n"/>
    </row>
    <row r="14" ht="15" customHeight="1" s="113">
      <c r="A14" s="2" t="inlineStr">
        <is>
          <t>Petrol Brent ($)</t>
        </is>
      </c>
      <c r="B14" s="14" t="n">
        <v>107.28</v>
      </c>
      <c r="C14" s="14" t="n">
        <v>107.1</v>
      </c>
      <c r="D14" s="161">
        <f>IFERROR(C14-B14,"")</f>
        <v/>
      </c>
      <c r="E14" s="162">
        <f>IFERROR((C14-B14)/ABS(B14),"")</f>
        <v/>
      </c>
      <c r="F14" s="14" t="n"/>
      <c r="G14" s="8" t="n"/>
      <c r="H14" s="16" t="inlineStr">
        <is>
          <t>Neutru</t>
        </is>
      </c>
      <c r="I14" s="130" t="inlineStr">
        <is>
          <t>23.03.2026</t>
        </is>
      </c>
      <c r="J14" s="130" t="inlineStr">
        <is>
          <t>Zilnic</t>
        </is>
      </c>
      <c r="K14" s="130" t="inlineStr">
        <is>
          <t>↑</t>
        </is>
      </c>
      <c r="L14" s="8" t="inlineStr">
        <is>
          <t>Neutru</t>
        </is>
      </c>
      <c r="M14" s="137" t="n"/>
    </row>
    <row r="15">
      <c r="A15" s="2" t="inlineStr">
        <is>
          <t>Petrol WTI ($)</t>
        </is>
      </c>
      <c r="B15" s="14" t="n">
        <v>78.5</v>
      </c>
      <c r="C15" s="14" t="n">
        <v>76.8</v>
      </c>
      <c r="D15" s="161">
        <f>IFERROR(C15-B15,"")</f>
        <v/>
      </c>
      <c r="E15" s="162">
        <f>IFERROR((C15-B15)/ABS(B15),"")</f>
        <v/>
      </c>
      <c r="F15" s="14" t="n"/>
      <c r="G15" s="8" t="n"/>
      <c r="H15" s="16" t="inlineStr">
        <is>
          <t>Neutru</t>
        </is>
      </c>
      <c r="I15" s="130" t="inlineStr">
        <is>
          <t>22.03.2026</t>
        </is>
      </c>
      <c r="J15" s="130" t="inlineStr">
        <is>
          <t>Zilnic</t>
        </is>
      </c>
      <c r="K15" s="130" t="inlineStr">
        <is>
          <t>↑</t>
        </is>
      </c>
      <c r="L15" s="8" t="inlineStr">
        <is>
          <t>Neutru</t>
        </is>
      </c>
      <c r="M15" s="137" t="n"/>
    </row>
    <row r="16" ht="29" customHeight="1" s="113">
      <c r="A16" s="2" t="inlineStr">
        <is>
          <t>Yield 10Y US (%)</t>
        </is>
      </c>
      <c r="B16" s="14" t="n">
        <v>4.391</v>
      </c>
      <c r="C16" s="14" t="n">
        <v>4.39</v>
      </c>
      <c r="D16" s="161">
        <f>IFERROR(C16-B16,"")</f>
        <v/>
      </c>
      <c r="E16" s="162">
        <f>IFERROR((C16-B16)/ABS(B16),"")</f>
        <v/>
      </c>
      <c r="F16" s="14" t="n"/>
      <c r="G16" s="8" t="n"/>
      <c r="H16" s="16" t="inlineStr">
        <is>
          <t>Negativ</t>
        </is>
      </c>
      <c r="I16" s="130" t="inlineStr">
        <is>
          <t>23.03.2026 03:29</t>
        </is>
      </c>
      <c r="J16" s="130" t="inlineStr">
        <is>
          <t>Zilnic</t>
        </is>
      </c>
      <c r="K16" s="130" t="inlineStr">
        <is>
          <t>↑</t>
        </is>
      </c>
      <c r="L16" s="8" t="inlineStr">
        <is>
          <t>Negativ</t>
        </is>
      </c>
      <c r="M16" s="137" t="inlineStr">
        <is>
          <t>Presiune piata</t>
        </is>
      </c>
    </row>
    <row r="17" ht="29" customHeight="1" s="113">
      <c r="A17" s="2" t="inlineStr">
        <is>
          <t>VIX</t>
        </is>
      </c>
      <c r="B17" s="14" t="n">
        <v>26.78</v>
      </c>
      <c r="C17" s="14" t="n">
        <v>26.78</v>
      </c>
      <c r="D17" s="161">
        <f>IFERROR(C17-B17,"")</f>
        <v/>
      </c>
      <c r="E17" s="162">
        <f>IFERROR((C17-B17)/ABS(B17),"")</f>
        <v/>
      </c>
      <c r="F17" s="14" t="n"/>
      <c r="G17" s="8" t="n"/>
      <c r="H17" s="16" t="inlineStr">
        <is>
          <t>Pozitiv</t>
        </is>
      </c>
      <c r="I17" s="130" t="inlineStr">
        <is>
          <t>23.03.2026 03:29</t>
        </is>
      </c>
      <c r="J17" s="130" t="inlineStr">
        <is>
          <t>Zilnic</t>
        </is>
      </c>
      <c r="K17" s="130" t="inlineStr">
        <is>
          <t>↓</t>
        </is>
      </c>
      <c r="L17" s="8" t="inlineStr">
        <is>
          <t>Pozitiv</t>
        </is>
      </c>
      <c r="M17" s="137" t="inlineStr">
        <is>
          <t>Scadere anxietate</t>
        </is>
      </c>
    </row>
    <row r="18" ht="29" customHeight="1" s="113">
      <c r="A18" s="2" t="inlineStr">
        <is>
          <t>Fear &amp; Greed (0-100)</t>
        </is>
      </c>
      <c r="B18" s="14" t="n">
        <v>8</v>
      </c>
      <c r="C18" s="14" t="n">
        <v>62</v>
      </c>
      <c r="D18" s="161">
        <f>IFERROR(C18-B18,"")</f>
        <v/>
      </c>
      <c r="E18" s="162">
        <f>IFERROR((C18-B18)/ABS(B18),"")</f>
        <v/>
      </c>
      <c r="F18" s="14" t="n"/>
      <c r="G18" s="8" t="n"/>
      <c r="H18" s="16" t="inlineStr">
        <is>
          <t>Pozitiv</t>
        </is>
      </c>
      <c r="I18" s="130" t="inlineStr">
        <is>
          <t>23.03.2026 03:29</t>
        </is>
      </c>
      <c r="J18" s="130" t="inlineStr">
        <is>
          <t>Zilnic</t>
        </is>
      </c>
      <c r="K18" s="130" t="inlineStr">
        <is>
          <t>↑</t>
        </is>
      </c>
      <c r="L18" s="8" t="inlineStr">
        <is>
          <t>Pozitiv</t>
        </is>
      </c>
      <c r="M18" s="137" t="inlineStr">
        <is>
          <t>Greed zone</t>
        </is>
      </c>
    </row>
  </sheetData>
  <mergeCells count="1">
    <mergeCell ref="A1:N1"/>
  </mergeCells>
  <conditionalFormatting sqref="K3:K50">
    <cfRule type="cellIs" priority="8" operator="equal" dxfId="2">
      <formula>"↑"</formula>
    </cfRule>
    <cfRule type="cellIs" priority="9" operator="equal" dxfId="1">
      <formula>"↓"</formula>
    </cfRule>
    <cfRule type="cellIs" priority="10" operator="equal" dxfId="0">
      <formula>"→"</formula>
    </cfRule>
  </conditionalFormatting>
  <conditionalFormatting sqref="L3:L50">
    <cfRule type="cellIs" priority="2" operator="equal" dxfId="2">
      <formula>"Activ"</formula>
    </cfRule>
    <cfRule type="cellIs" priority="3" operator="equal" dxfId="2">
      <formula>"Pozitiv"</formula>
    </cfRule>
    <cfRule type="cellIs" priority="4" operator="equal" dxfId="0">
      <formula>"Executat"</formula>
    </cfRule>
    <cfRule type="cellIs" priority="5" operator="equal" dxfId="1">
      <formula>"Expirat"</formula>
    </cfRule>
    <cfRule type="cellIs" priority="6" operator="equal" dxfId="1">
      <formula>"Negativ"</formula>
    </cfRule>
    <cfRule type="cellIs" priority="7" operator="equal" dxfId="0">
      <formula>"Neutru"</formula>
    </cfRule>
  </conditionalFormatting>
  <pageMargins left="0.75" right="0.75" top="1" bottom="1" header="0.511811023622047" footer="0.511811023622047"/>
  <pageSetup orientation="portrait" paperSize="9" scale="45" horizontalDpi="300" verticalDpi="300"/>
</worksheet>
</file>

<file path=xl/worksheets/sheet6.xml><?xml version="1.0" encoding="utf-8"?>
<worksheet xmlns="http://schemas.openxmlformats.org/spreadsheetml/2006/main">
  <sheetPr>
    <tabColor rgb="FF808080"/>
    <outlinePr summaryBelow="1" summaryRight="1"/>
    <pageSetUpPr/>
  </sheetPr>
  <dimension ref="A1:O7"/>
  <sheetViews>
    <sheetView view="pageBreakPreview" zoomScale="60" zoomScaleNormal="100" workbookViewId="0">
      <pane xSplit="1" ySplit="2" topLeftCell="B3" activePane="bottomRight" state="frozen"/>
      <selection pane="topRight" activeCell="B1" sqref="B1"/>
      <selection pane="bottomLeft" activeCell="A3" sqref="A3"/>
      <selection pane="bottomRight" activeCell="L27" sqref="L27"/>
    </sheetView>
  </sheetViews>
  <sheetFormatPr baseColWidth="8" defaultColWidth="8.6328125" defaultRowHeight="14.5"/>
  <cols>
    <col width="18" customWidth="1" style="113" min="1" max="2"/>
    <col width="12" customWidth="1" style="113" min="3" max="5"/>
    <col width="14" customWidth="1" style="113" min="6" max="6"/>
    <col width="12" customWidth="1" style="113" min="7" max="7"/>
    <col width="10" customWidth="1" style="113" min="8" max="8"/>
    <col width="28" customWidth="1" style="113" min="9" max="10"/>
    <col width="12" customWidth="1" style="113" min="11" max="11"/>
    <col width="8" customWidth="1" style="113" min="12" max="12"/>
    <col width="12" customWidth="1" style="113" min="13" max="14"/>
    <col width="20" customWidth="1" style="113" min="15" max="15"/>
  </cols>
  <sheetData>
    <row r="1" ht="34.5" customHeight="1" s="113">
      <c r="A1" s="155" t="inlineStr">
        <is>
          <t>🏭 ANALIZĂ COMPETITORI &amp; SECTOR</t>
        </is>
      </c>
    </row>
    <row r="2" ht="34.5" customHeight="1" s="113">
      <c r="A2" s="143" t="inlineStr">
        <is>
          <t>Entitate</t>
        </is>
      </c>
      <c r="B2" s="143" t="inlineStr">
        <is>
          <t>Sector</t>
        </is>
      </c>
      <c r="C2" s="143" t="inlineStr">
        <is>
          <t>Cotă piață (%)</t>
        </is>
      </c>
      <c r="D2" s="143" t="inlineStr">
        <is>
          <t>Schimbare YoY</t>
        </is>
      </c>
      <c r="E2" s="143" t="inlineStr">
        <is>
          <t>Preț mediu</t>
        </is>
      </c>
      <c r="F2" s="143" t="inlineStr">
        <is>
          <t>Trending</t>
        </is>
      </c>
      <c r="G2" s="143" t="inlineStr">
        <is>
          <t>Revenue ($B)</t>
        </is>
      </c>
      <c r="H2" s="143" t="inlineStr">
        <is>
          <t>Marjă (%)</t>
        </is>
      </c>
      <c r="I2" s="143" t="inlineStr">
        <is>
          <t>Puncte forte</t>
        </is>
      </c>
      <c r="J2" s="143" t="inlineStr">
        <is>
          <t>Puncte slabe</t>
        </is>
      </c>
      <c r="K2" s="143" t="inlineStr">
        <is>
          <t>Scor competitiv (1-10)</t>
        </is>
      </c>
      <c r="L2" s="143" t="inlineStr">
        <is>
          <t>Risc (1-5)</t>
        </is>
      </c>
      <c r="M2" s="143" t="inlineStr">
        <is>
          <t>Status</t>
        </is>
      </c>
      <c r="N2" s="143" t="inlineStr">
        <is>
          <t>Data</t>
        </is>
      </c>
      <c r="O2" s="143" t="inlineStr">
        <is>
          <t>Note</t>
        </is>
      </c>
    </row>
    <row r="3" ht="15" customHeight="1" s="113">
      <c r="A3" s="2" t="inlineStr">
        <is>
          <t>Apple (AAPL)</t>
        </is>
      </c>
      <c r="B3" s="130" t="inlineStr">
        <is>
          <t>Technology</t>
        </is>
      </c>
      <c r="C3" s="17" t="n">
        <v>22.5</v>
      </c>
      <c r="D3" s="17" t="n">
        <v>1.2</v>
      </c>
      <c r="E3" s="14" t="n">
        <v>185.5</v>
      </c>
      <c r="F3" s="130" t="inlineStr">
        <is>
          <t>↑ Creștere</t>
        </is>
      </c>
      <c r="G3" s="18" t="n">
        <v>385.7</v>
      </c>
      <c r="H3" s="18" t="n">
        <v>25.3</v>
      </c>
      <c r="I3" s="137" t="inlineStr">
        <is>
          <t>Ecosistem, Brand, Cash</t>
        </is>
      </c>
      <c r="J3" s="137" t="inlineStr">
        <is>
          <t>Saturare iPhone, Reglementari</t>
        </is>
      </c>
      <c r="K3" s="131" t="n">
        <v>9</v>
      </c>
      <c r="L3" s="131" t="n">
        <v>2</v>
      </c>
      <c r="M3" s="130" t="inlineStr">
        <is>
          <t>Lider</t>
        </is>
      </c>
      <c r="N3" s="130" t="inlineStr">
        <is>
          <t>22.03.2026</t>
        </is>
      </c>
      <c r="O3" s="137" t="n"/>
    </row>
    <row r="4" ht="15" customHeight="1" s="113">
      <c r="A4" s="2" t="inlineStr">
        <is>
          <t>Microsoft (MSFT)</t>
        </is>
      </c>
      <c r="B4" s="130" t="inlineStr">
        <is>
          <t>Technology</t>
        </is>
      </c>
      <c r="C4" s="17" t="n">
        <v>20.8</v>
      </c>
      <c r="D4" s="17" t="n">
        <v>2.1</v>
      </c>
      <c r="E4" s="14" t="n">
        <v>415.2</v>
      </c>
      <c r="F4" s="130" t="inlineStr">
        <is>
          <t>↑ Creștere</t>
        </is>
      </c>
      <c r="G4" s="18" t="n">
        <v>227.6</v>
      </c>
      <c r="H4" s="18" t="n">
        <v>35.1</v>
      </c>
      <c r="I4" s="137" t="inlineStr">
        <is>
          <t>Cloud Azure, AI Copilot, Office</t>
        </is>
      </c>
      <c r="J4" s="137" t="inlineStr">
        <is>
          <t>Dependenta cloud, Costuri</t>
        </is>
      </c>
      <c r="K4" s="131" t="n">
        <v>9</v>
      </c>
      <c r="L4" s="131" t="n">
        <v>1</v>
      </c>
      <c r="M4" s="130" t="inlineStr">
        <is>
          <t>Lider</t>
        </is>
      </c>
      <c r="N4" s="130" t="inlineStr">
        <is>
          <t>22.03.2026</t>
        </is>
      </c>
      <c r="O4" s="137" t="n"/>
    </row>
    <row r="5" ht="27.75" customHeight="1" s="113">
      <c r="A5" s="2" t="inlineStr">
        <is>
          <t>Alphabet (GOOGL)</t>
        </is>
      </c>
      <c r="B5" s="130" t="inlineStr">
        <is>
          <t>Technology</t>
        </is>
      </c>
      <c r="C5" s="17" t="n">
        <v>18.3</v>
      </c>
      <c r="D5" s="17" t="n">
        <v>-0.5</v>
      </c>
      <c r="E5" s="14" t="n">
        <v>175.8</v>
      </c>
      <c r="F5" s="130" t="inlineStr">
        <is>
          <t>→ Stabil</t>
        </is>
      </c>
      <c r="G5" s="18" t="n">
        <v>307.4</v>
      </c>
      <c r="H5" s="18" t="n">
        <v>26.8</v>
      </c>
      <c r="I5" s="137" t="inlineStr">
        <is>
          <t>Search monopol, YouTube, Cloud</t>
        </is>
      </c>
      <c r="J5" s="137" t="inlineStr">
        <is>
          <t>AI concurenta, Reglementari antitrust</t>
        </is>
      </c>
      <c r="K5" s="131" t="n">
        <v>8</v>
      </c>
      <c r="L5" s="131" t="n">
        <v>2</v>
      </c>
      <c r="M5" s="130" t="inlineStr">
        <is>
          <t>Lider</t>
        </is>
      </c>
      <c r="N5" s="130" t="inlineStr">
        <is>
          <t>22.03.2026</t>
        </is>
      </c>
      <c r="O5" s="137" t="n"/>
    </row>
    <row r="6" ht="15" customHeight="1" s="113">
      <c r="A6" s="2" t="inlineStr">
        <is>
          <t>Amazon (AMZN)</t>
        </is>
      </c>
      <c r="B6" s="130" t="inlineStr">
        <is>
          <t>E-commerce/Cloud</t>
        </is>
      </c>
      <c r="C6" s="17" t="n">
        <v>16.9</v>
      </c>
      <c r="D6" s="17" t="n">
        <v>1.8</v>
      </c>
      <c r="E6" s="14" t="n">
        <v>195.4</v>
      </c>
      <c r="F6" s="130" t="inlineStr">
        <is>
          <t>↑ Creștere</t>
        </is>
      </c>
      <c r="G6" s="18" t="n">
        <v>575</v>
      </c>
      <c r="H6" s="18" t="n">
        <v>7.2</v>
      </c>
      <c r="I6" s="137" t="inlineStr">
        <is>
          <t>AWS, Logistica, Prime</t>
        </is>
      </c>
      <c r="J6" s="137" t="inlineStr">
        <is>
          <t>Marje retail, Reglementari</t>
        </is>
      </c>
      <c r="K6" s="131" t="n">
        <v>8</v>
      </c>
      <c r="L6" s="131" t="n">
        <v>2</v>
      </c>
      <c r="M6" s="130" t="inlineStr">
        <is>
          <t>Lider</t>
        </is>
      </c>
      <c r="N6" s="130" t="inlineStr">
        <is>
          <t>22.03.2026</t>
        </is>
      </c>
      <c r="O6" s="137" t="n"/>
    </row>
    <row r="7" ht="27.75" customHeight="1" s="113">
      <c r="A7" s="2" t="inlineStr">
        <is>
          <t>NVIDIA (NVDA)</t>
        </is>
      </c>
      <c r="B7" s="130" t="inlineStr">
        <is>
          <t>Semiconductors</t>
        </is>
      </c>
      <c r="C7" s="17" t="n">
        <v>9.199999999999999</v>
      </c>
      <c r="D7" s="17" t="n">
        <v>4.5</v>
      </c>
      <c r="E7" s="14" t="n">
        <v>870.2</v>
      </c>
      <c r="F7" s="130" t="inlineStr">
        <is>
          <t>↑ Creștere</t>
        </is>
      </c>
      <c r="G7" s="18" t="n">
        <v>60.9</v>
      </c>
      <c r="H7" s="18" t="n">
        <v>54.7</v>
      </c>
      <c r="I7" s="137" t="inlineStr">
        <is>
          <t>GPU AI, CUDA, Date Center</t>
        </is>
      </c>
      <c r="J7" s="137" t="inlineStr">
        <is>
          <t>Dependenta AI, Ciclicitate, Valuation</t>
        </is>
      </c>
      <c r="K7" s="131" t="n">
        <v>10</v>
      </c>
      <c r="L7" s="131" t="n">
        <v>3</v>
      </c>
      <c r="M7" s="130" t="inlineStr">
        <is>
          <t>Lider</t>
        </is>
      </c>
      <c r="N7" s="130" t="inlineStr">
        <is>
          <t>22.03.2026</t>
        </is>
      </c>
      <c r="O7" s="137" t="n"/>
    </row>
  </sheetData>
  <mergeCells count="1">
    <mergeCell ref="A1:O1"/>
  </mergeCells>
  <conditionalFormatting sqref="F3:F200">
    <cfRule type="cellIs" priority="2" operator="equal" dxfId="2">
      <formula>"↑ Creștere"</formula>
    </cfRule>
    <cfRule type="cellIs" priority="3" operator="equal" dxfId="0">
      <formula>"→ Stabil"</formula>
    </cfRule>
    <cfRule type="cellIs" priority="4" operator="equal" dxfId="1">
      <formula>"↓ Declin"</formula>
    </cfRule>
  </conditionalFormatting>
  <conditionalFormatting sqref="K3:K200">
    <cfRule type="colorScale" priority="9">
      <colorScale>
        <cfvo type="num" val="1"/>
        <cfvo type="num" val="5"/>
        <cfvo type="num" val="10"/>
        <color rgb="FFFFC7CE"/>
        <color rgb="FFFFEB9C"/>
        <color rgb="FFC6EFCE"/>
      </colorScale>
    </cfRule>
  </conditionalFormatting>
  <conditionalFormatting sqref="M3:M200">
    <cfRule type="cellIs" priority="5" operator="equal" dxfId="2">
      <formula>"Lider"</formula>
    </cfRule>
    <cfRule type="cellIs" priority="6" operator="equal" dxfId="33">
      <formula>"Challenger"</formula>
    </cfRule>
    <cfRule type="cellIs" priority="7" operator="equal" dxfId="0">
      <formula>"Urmăritor"</formula>
    </cfRule>
    <cfRule type="cellIs" priority="8" operator="equal" dxfId="31">
      <formula>"Nișă"</formula>
    </cfRule>
  </conditionalFormatting>
  <dataValidations count="3">
    <dataValidation sqref="M3:M200" showDropDown="0" showInputMessage="0" showErrorMessage="0" allowBlank="1" type="list">
      <formula1>"Lider,Challenger,Urmăritor,Nișă"</formula1>
      <formula2>0</formula2>
    </dataValidation>
    <dataValidation sqref="F3:F200" showDropDown="0" showInputMessage="0" showErrorMessage="0" allowBlank="1" type="list">
      <formula1>"↑ Creștere,→ Stabil,↓ Declin"</formula1>
      <formula2>0</formula2>
    </dataValidation>
    <dataValidation sqref="L3:L200" showDropDown="0" showInputMessage="0" showErrorMessage="0" allowBlank="1" type="list">
      <formula1>"1,2,3,4,5"</formula1>
      <formula2>0</formula2>
    </dataValidation>
  </dataValidations>
  <pageMargins left="0.75" right="0.75" top="1" bottom="1" header="0.511811023622047" footer="0.511811023622047"/>
  <pageSetup orientation="portrait" paperSize="9" scale="37" horizontalDpi="300" verticalDpi="300"/>
</worksheet>
</file>

<file path=xl/worksheets/sheet7.xml><?xml version="1.0" encoding="utf-8"?>
<worksheet xmlns="http://schemas.openxmlformats.org/spreadsheetml/2006/main">
  <sheetPr>
    <tabColor rgb="FF808080"/>
    <outlinePr summaryBelow="1" summaryRight="1"/>
    <pageSetUpPr/>
  </sheetPr>
  <dimension ref="A1:O102"/>
  <sheetViews>
    <sheetView view="pageBreakPreview" zoomScale="60" zoomScaleNormal="100" workbookViewId="0">
      <pane xSplit="2" ySplit="2" topLeftCell="C3" activePane="bottomRight" state="frozen"/>
      <selection pane="topRight" activeCell="C1" sqref="C1"/>
      <selection pane="bottomLeft" activeCell="A3" sqref="A3"/>
      <selection pane="bottomRight" activeCell="K23" sqref="K23"/>
    </sheetView>
  </sheetViews>
  <sheetFormatPr baseColWidth="8" defaultColWidth="8.6328125" defaultRowHeight="14.5"/>
  <cols>
    <col width="12" customWidth="1" style="113" min="1" max="1"/>
    <col width="14" customWidth="1" style="165" min="2" max="2"/>
    <col width="12" customWidth="1" style="165" min="3" max="6"/>
    <col width="11.453125" bestFit="1" customWidth="1" style="165" min="7" max="7"/>
    <col width="10" customWidth="1" style="165" min="8" max="9"/>
    <col width="14" customWidth="1" style="165" min="10" max="11"/>
    <col width="14.1796875" bestFit="1" customWidth="1" style="165" min="12" max="12"/>
    <col width="14" customWidth="1" style="165" min="13" max="13"/>
    <col width="12" customWidth="1" style="165" min="14" max="14"/>
    <col width="10" customWidth="1" style="165" min="15" max="15"/>
  </cols>
  <sheetData>
    <row r="1" ht="34.5" customHeight="1" s="113">
      <c r="A1" s="155" t="inlineStr">
        <is>
          <t>💰 PREȚURI, VOLUME &amp; SEZONALITATE</t>
        </is>
      </c>
    </row>
    <row r="2" ht="23.25" customHeight="1" s="113">
      <c r="A2" s="143" t="inlineStr">
        <is>
          <t>Data</t>
        </is>
      </c>
      <c r="B2" s="143" t="inlineStr">
        <is>
          <t>Produs/Activ</t>
        </is>
      </c>
      <c r="C2" s="143" t="inlineStr">
        <is>
          <t>Deschidere</t>
        </is>
      </c>
      <c r="D2" s="143" t="inlineStr">
        <is>
          <t>Maxim</t>
        </is>
      </c>
      <c r="E2" s="143" t="inlineStr">
        <is>
          <t>Minim</t>
        </is>
      </c>
      <c r="F2" s="143" t="inlineStr">
        <is>
          <t>Închidere</t>
        </is>
      </c>
      <c r="G2" s="143" t="inlineStr">
        <is>
          <t>Var. Zi (%)</t>
        </is>
      </c>
      <c r="H2" s="143" t="inlineStr">
        <is>
          <t>Var. Săpt (%)</t>
        </is>
      </c>
      <c r="I2" s="143" t="inlineStr">
        <is>
          <t>Var. Lună (%)</t>
        </is>
      </c>
      <c r="J2" s="143" t="inlineStr">
        <is>
          <t>Volum</t>
        </is>
      </c>
      <c r="K2" s="143" t="inlineStr">
        <is>
          <t>Medie Vol. 20z</t>
        </is>
      </c>
      <c r="L2" s="143" t="inlineStr">
        <is>
          <t>RVOL</t>
        </is>
      </c>
      <c r="M2" s="143" t="inlineStr">
        <is>
          <t>Sezon</t>
        </is>
      </c>
      <c r="N2" s="143" t="inlineStr">
        <is>
          <t>Factor sezonier (%)</t>
        </is>
      </c>
      <c r="O2" s="143" t="inlineStr">
        <is>
          <t>Trend</t>
        </is>
      </c>
    </row>
    <row r="3" ht="15" customHeight="1" s="113">
      <c r="A3" s="81" t="inlineStr">
        <is>
          <t>--- INDICI BURSIERI ---</t>
        </is>
      </c>
      <c r="B3" s="167" t="n"/>
      <c r="C3" s="83" t="n"/>
      <c r="D3" s="83" t="n"/>
      <c r="E3" s="83" t="n"/>
      <c r="F3" s="83" t="n"/>
      <c r="G3" s="104" t="n"/>
      <c r="H3" s="105" t="n"/>
      <c r="I3" s="105" t="n"/>
      <c r="J3" s="86" t="n"/>
      <c r="K3" s="86" t="n"/>
      <c r="L3" s="106" t="n"/>
      <c r="M3" s="85" t="n"/>
      <c r="N3" s="107" t="n"/>
      <c r="O3" s="85" t="n"/>
    </row>
    <row r="4" ht="15" customHeight="1" s="113">
      <c r="A4" s="130" t="inlineStr">
        <is>
          <t>23.03.2026</t>
        </is>
      </c>
      <c r="B4" s="168" t="inlineStr">
        <is>
          <t>S&amp;P 500</t>
        </is>
      </c>
      <c r="C4" s="62" t="inlineStr">
        <is>
          <t>^GSPC</t>
        </is>
      </c>
      <c r="D4" s="63" t="n">
        <v>6594.660156</v>
      </c>
      <c r="E4" s="63" t="n">
        <v>6594.660156</v>
      </c>
      <c r="F4" s="63" t="n">
        <v>6473.52002</v>
      </c>
      <c r="G4" s="70" t="n">
        <v>6506.47998</v>
      </c>
      <c r="H4" s="108" t="n">
        <v>-0.015138</v>
      </c>
      <c r="I4" s="108" t="n">
        <v>-0.028794</v>
      </c>
      <c r="J4" s="108" t="n">
        <v>-0.048447</v>
      </c>
      <c r="K4" s="80" t="n">
        <v>7040255000</v>
      </c>
      <c r="L4" s="80" t="n">
        <v>5833350250</v>
      </c>
      <c r="M4" s="61" t="n">
        <v>1.21</v>
      </c>
      <c r="N4" s="109" t="inlineStr">
        <is>
          <t>BUY</t>
        </is>
      </c>
      <c r="O4" s="169" t="inlineStr">
        <is>
          <t>Bearish</t>
        </is>
      </c>
    </row>
    <row r="5" ht="15" customHeight="1" s="113">
      <c r="A5" s="130" t="inlineStr">
        <is>
          <t>23.03.2026</t>
        </is>
      </c>
      <c r="B5" s="168" t="inlineStr">
        <is>
          <t>NASDAQ 100</t>
        </is>
      </c>
      <c r="C5" s="62" t="inlineStr">
        <is>
          <t>^NDX</t>
        </is>
      </c>
      <c r="D5" s="63" t="n">
        <v>24257.5625</v>
      </c>
      <c r="E5" s="63" t="n">
        <v>24267.333984</v>
      </c>
      <c r="F5" s="63" t="n">
        <v>23759.966797</v>
      </c>
      <c r="G5" s="70" t="n">
        <v>23898.154297</v>
      </c>
      <c r="H5" s="108" t="n">
        <v>-0.018769</v>
      </c>
      <c r="I5" s="108" t="n">
        <v>-0.030711</v>
      </c>
      <c r="J5" s="108" t="n">
        <v>-0.032813</v>
      </c>
      <c r="K5" s="80" t="n">
        <v>2335365000</v>
      </c>
      <c r="L5" s="80" t="n">
        <v>8653521750</v>
      </c>
      <c r="M5" s="61" t="n">
        <v>0.27</v>
      </c>
      <c r="N5" s="110" t="inlineStr">
        <is>
          <t>WAIT</t>
        </is>
      </c>
      <c r="O5" s="169" t="inlineStr">
        <is>
          <t>Bearish</t>
        </is>
      </c>
    </row>
    <row r="6" ht="26" customHeight="1" s="113">
      <c r="A6" s="130" t="inlineStr">
        <is>
          <t>23.03.2026</t>
        </is>
      </c>
      <c r="B6" s="168" t="inlineStr">
        <is>
          <t>NASDAQ Comp.</t>
        </is>
      </c>
      <c r="C6" s="62" t="inlineStr">
        <is>
          <t>^IXIC</t>
        </is>
      </c>
      <c r="D6" s="63" t="n">
        <v>21989.332031</v>
      </c>
      <c r="E6" s="63" t="n">
        <v>21997.089844</v>
      </c>
      <c r="F6" s="63" t="n">
        <v>21522.75</v>
      </c>
      <c r="G6" s="70" t="n">
        <v>21647.611328</v>
      </c>
      <c r="H6" s="108" t="n">
        <v>-0.020057</v>
      </c>
      <c r="I6" s="108" t="n">
        <v>-0.032474</v>
      </c>
      <c r="J6" s="108" t="n">
        <v>-0.043295</v>
      </c>
      <c r="K6" s="80" t="n">
        <v>10441715000</v>
      </c>
      <c r="L6" s="80" t="n">
        <v>9058839250</v>
      </c>
      <c r="M6" s="61" t="n">
        <v>1.15</v>
      </c>
      <c r="N6" s="109" t="inlineStr">
        <is>
          <t>BUY</t>
        </is>
      </c>
      <c r="O6" s="169" t="inlineStr">
        <is>
          <t>Bearish</t>
        </is>
      </c>
    </row>
    <row r="7" ht="15" customHeight="1" s="113">
      <c r="A7" s="130" t="inlineStr">
        <is>
          <t>23.03.2026</t>
        </is>
      </c>
      <c r="B7" s="168" t="inlineStr">
        <is>
          <t>Dow Jones</t>
        </is>
      </c>
      <c r="C7" s="62" t="inlineStr">
        <is>
          <t>^DJI</t>
        </is>
      </c>
      <c r="D7" s="63" t="n">
        <v>45975.648438</v>
      </c>
      <c r="E7" s="63" t="n">
        <v>46068.308594</v>
      </c>
      <c r="F7" s="63" t="n">
        <v>45369.390625</v>
      </c>
      <c r="G7" s="69" t="n">
        <v>45577.46875</v>
      </c>
      <c r="H7" s="108" t="n">
        <v>-0.009646999999999999</v>
      </c>
      <c r="I7" s="108" t="n">
        <v>-0.02916</v>
      </c>
      <c r="J7" s="108" t="n">
        <v>-0.06611300000000001</v>
      </c>
      <c r="K7" s="80" t="n">
        <v>1068426541</v>
      </c>
      <c r="L7" s="80" t="n">
        <v>568919827</v>
      </c>
      <c r="M7" s="61" t="n">
        <v>1.88</v>
      </c>
      <c r="N7" s="109" t="inlineStr">
        <is>
          <t>BUY</t>
        </is>
      </c>
      <c r="O7" s="169" t="inlineStr">
        <is>
          <t>Bearish</t>
        </is>
      </c>
    </row>
    <row r="8">
      <c r="A8" t="inlineStr">
        <is>
          <t>23.03.2026</t>
        </is>
      </c>
      <c r="B8" s="170" t="inlineStr">
        <is>
          <t>Russell 2000</t>
        </is>
      </c>
      <c r="C8" s="62" t="inlineStr">
        <is>
          <t>^RUT</t>
        </is>
      </c>
      <c r="D8" s="164" t="n">
        <v>2494.272949</v>
      </c>
      <c r="E8" s="164" t="n">
        <v>2496.592285</v>
      </c>
      <c r="F8" s="164" t="n">
        <v>2422.994385</v>
      </c>
      <c r="G8" s="171" t="n">
        <v>2438.450928</v>
      </c>
      <c r="H8" s="172" t="n">
        <v>-0.022551</v>
      </c>
      <c r="I8" s="172" t="n">
        <v>-0.025902</v>
      </c>
      <c r="J8" s="172" t="n">
        <v>-0.069645</v>
      </c>
      <c r="K8" s="80" t="n">
        <v>0</v>
      </c>
      <c r="L8" s="80" t="n">
        <v>5481337500</v>
      </c>
      <c r="M8" s="61" t="n">
        <v>0</v>
      </c>
      <c r="N8" s="173" t="inlineStr">
        <is>
          <t>WAIT</t>
        </is>
      </c>
      <c r="O8" s="174" t="inlineStr">
        <is>
          <t>Bearish</t>
        </is>
      </c>
    </row>
    <row r="9">
      <c r="A9" t="inlineStr">
        <is>
          <t>23.03.2026</t>
        </is>
      </c>
      <c r="B9" s="170" t="inlineStr">
        <is>
          <t>DAX Germany</t>
        </is>
      </c>
      <c r="C9" s="62" t="inlineStr">
        <is>
          <t>^GDAXI</t>
        </is>
      </c>
      <c r="D9" s="164" t="n">
        <v>23083.890625</v>
      </c>
      <c r="E9" s="164" t="n">
        <v>23176.169922</v>
      </c>
      <c r="F9" s="164" t="n">
        <v>22369.470703</v>
      </c>
      <c r="G9" s="171" t="n">
        <v>22380.189453</v>
      </c>
      <c r="H9" s="172" t="n">
        <v>-0.020113</v>
      </c>
      <c r="I9" s="172" t="n">
        <v>-0.050238</v>
      </c>
      <c r="J9" s="172" t="n">
        <v>-0.104505</v>
      </c>
      <c r="K9" s="80" t="n">
        <v>0</v>
      </c>
      <c r="L9" s="80" t="n">
        <v>70078775</v>
      </c>
      <c r="M9" s="61" t="n">
        <v>0</v>
      </c>
      <c r="N9" s="173" t="inlineStr">
        <is>
          <t>WAIT</t>
        </is>
      </c>
      <c r="O9" s="174" t="inlineStr">
        <is>
          <t>Bearish</t>
        </is>
      </c>
    </row>
    <row r="10">
      <c r="A10" t="inlineStr">
        <is>
          <t>23.03.2026</t>
        </is>
      </c>
      <c r="B10" s="170" t="inlineStr">
        <is>
          <t>FTSE 100</t>
        </is>
      </c>
      <c r="C10" s="62" t="inlineStr">
        <is>
          <t>^FTSE</t>
        </is>
      </c>
      <c r="D10" s="164" t="n">
        <v>10063.25</v>
      </c>
      <c r="E10" s="164" t="n">
        <v>10127.55957</v>
      </c>
      <c r="F10" s="164" t="n">
        <v>9915.700194999999</v>
      </c>
      <c r="G10" s="171" t="n">
        <v>9918.330078000001</v>
      </c>
      <c r="H10" s="172" t="n">
        <v>-0.014425</v>
      </c>
      <c r="I10" s="172" t="n">
        <v>-0.038707</v>
      </c>
      <c r="J10" s="172" t="n">
        <v>-0.071726</v>
      </c>
      <c r="K10" s="80" t="n">
        <v>0</v>
      </c>
      <c r="L10" s="80" t="n">
        <v>1014132780</v>
      </c>
      <c r="M10" s="61" t="n">
        <v>0</v>
      </c>
      <c r="N10" s="173" t="inlineStr">
        <is>
          <t>WAIT</t>
        </is>
      </c>
      <c r="O10" s="174" t="inlineStr">
        <is>
          <t>Bearish</t>
        </is>
      </c>
    </row>
    <row r="11">
      <c r="A11" t="inlineStr">
        <is>
          <t>23.03.2026</t>
        </is>
      </c>
      <c r="B11" s="170" t="inlineStr">
        <is>
          <t>CAC 40</t>
        </is>
      </c>
      <c r="C11" s="62" t="inlineStr">
        <is>
          <t>^FCHI</t>
        </is>
      </c>
      <c r="D11" s="164" t="n">
        <v>0</v>
      </c>
      <c r="E11" s="164" t="n">
        <v>0</v>
      </c>
      <c r="F11" s="164" t="n">
        <v>0</v>
      </c>
      <c r="G11" s="164" t="n">
        <v>7665.620117</v>
      </c>
      <c r="H11" s="172" t="n">
        <v>-0.018219</v>
      </c>
      <c r="I11" s="172" t="n">
        <v>-0.034066</v>
      </c>
      <c r="J11" s="172" t="n">
        <v>-0.09786199999999999</v>
      </c>
      <c r="K11" s="80" t="n">
        <v>0</v>
      </c>
      <c r="L11" s="80" t="n">
        <v>73979080</v>
      </c>
      <c r="M11" s="61" t="n">
        <v>0</v>
      </c>
      <c r="N11" s="173" t="inlineStr">
        <is>
          <t>WAIT</t>
        </is>
      </c>
      <c r="O11" s="174" t="inlineStr">
        <is>
          <t>Bearish</t>
        </is>
      </c>
    </row>
    <row r="12">
      <c r="A12" t="inlineStr">
        <is>
          <t>23.03.2026</t>
        </is>
      </c>
      <c r="B12" s="170" t="inlineStr">
        <is>
          <t>Nikkei 225</t>
        </is>
      </c>
      <c r="C12" s="62" t="inlineStr">
        <is>
          <t>^N225</t>
        </is>
      </c>
      <c r="D12" s="164" t="n">
        <v>52468.71875</v>
      </c>
      <c r="E12" s="164" t="n">
        <v>52479.808594</v>
      </c>
      <c r="F12" s="164" t="n">
        <v>50688.761719</v>
      </c>
      <c r="G12" s="164" t="n">
        <v>51187.230469</v>
      </c>
      <c r="H12" s="172" t="n">
        <v>-0.040944</v>
      </c>
      <c r="I12" s="172" t="n">
        <v>-0.04769999999999999</v>
      </c>
      <c r="J12" s="172" t="n">
        <v>-0.09922399999999999</v>
      </c>
      <c r="K12" s="80" t="n">
        <v>0</v>
      </c>
      <c r="L12" s="80" t="n">
        <v>157195000</v>
      </c>
      <c r="M12" s="61" t="n">
        <v>0</v>
      </c>
      <c r="N12" s="173" t="inlineStr">
        <is>
          <t>WAIT</t>
        </is>
      </c>
      <c r="O12" s="174" t="inlineStr">
        <is>
          <t>Bearish</t>
        </is>
      </c>
    </row>
    <row r="13">
      <c r="A13" t="inlineStr">
        <is>
          <t>23.03.2026</t>
        </is>
      </c>
      <c r="B13" s="170" t="inlineStr">
        <is>
          <t>Hang Seng</t>
        </is>
      </c>
      <c r="C13" s="62" t="inlineStr">
        <is>
          <t>^HSI</t>
        </is>
      </c>
      <c r="D13" s="164" t="n">
        <v>25337.279297</v>
      </c>
      <c r="E13" s="164" t="n">
        <v>25563.880859</v>
      </c>
      <c r="F13" s="164" t="n">
        <v>25121.460938</v>
      </c>
      <c r="G13" s="164" t="n">
        <v>25277.320312</v>
      </c>
      <c r="H13" s="172" t="n">
        <v>-0.008754999999999999</v>
      </c>
      <c r="I13" s="172" t="n">
        <v>-0.021549</v>
      </c>
      <c r="J13" s="172" t="n">
        <v>-0.066635</v>
      </c>
      <c r="K13" s="80" t="n">
        <v>0</v>
      </c>
      <c r="L13" s="80" t="n">
        <v>3207810000</v>
      </c>
      <c r="M13" s="61" t="n">
        <v>0</v>
      </c>
      <c r="N13" s="173" t="inlineStr">
        <is>
          <t>WAIT</t>
        </is>
      </c>
      <c r="O13" s="174" t="inlineStr">
        <is>
          <t>Bearish</t>
        </is>
      </c>
    </row>
    <row r="14">
      <c r="A14" t="inlineStr">
        <is>
          <t>23.03.2026</t>
        </is>
      </c>
      <c r="B14" s="170" t="inlineStr">
        <is>
          <t>Shanghai Comp.</t>
        </is>
      </c>
      <c r="C14" s="62" t="inlineStr">
        <is>
          <t>000001.SS</t>
        </is>
      </c>
      <c r="D14" s="164" t="n">
        <v>4004.573242</v>
      </c>
      <c r="E14" s="164" t="n">
        <v>4022.703369</v>
      </c>
      <c r="F14" s="164" t="n">
        <v>3955.711182</v>
      </c>
      <c r="G14" s="164" t="n">
        <v>3957.052734</v>
      </c>
      <c r="H14" s="172" t="n">
        <v>-0.012355</v>
      </c>
      <c r="I14" s="172" t="n">
        <v>-0.03127</v>
      </c>
      <c r="J14" s="172" t="n">
        <v>-0.030627</v>
      </c>
      <c r="K14" s="80" t="n">
        <v>2255329260</v>
      </c>
      <c r="L14" s="80" t="n">
        <v>113440008</v>
      </c>
      <c r="M14" s="61" t="n">
        <v>19.88</v>
      </c>
      <c r="N14" s="175" t="inlineStr">
        <is>
          <t>BUY</t>
        </is>
      </c>
      <c r="O14" s="174" t="inlineStr">
        <is>
          <t>Bearish</t>
        </is>
      </c>
    </row>
    <row r="15">
      <c r="A15" t="inlineStr">
        <is>
          <t>23.03.2026</t>
        </is>
      </c>
      <c r="B15" s="170" t="inlineStr">
        <is>
          <t>MSCI World ETF</t>
        </is>
      </c>
      <c r="C15" s="62" t="inlineStr">
        <is>
          <t>URTH</t>
        </is>
      </c>
      <c r="D15" s="164" t="n">
        <v>180.800003</v>
      </c>
      <c r="E15" s="164" t="n">
        <v>180.880005</v>
      </c>
      <c r="F15" s="164" t="n">
        <v>177.070007</v>
      </c>
      <c r="G15" s="164" t="n">
        <v>178</v>
      </c>
      <c r="H15" s="172" t="n">
        <v>-0.018527</v>
      </c>
      <c r="I15" s="172" t="n">
        <v>-0.032819</v>
      </c>
      <c r="J15" s="172" t="n">
        <v>-0.060686</v>
      </c>
      <c r="K15" s="80" t="n">
        <v>425677</v>
      </c>
      <c r="L15" s="80" t="n">
        <v>536058</v>
      </c>
      <c r="M15" s="61" t="n">
        <v>0.79</v>
      </c>
      <c r="N15" s="175" t="inlineStr">
        <is>
          <t>BUY</t>
        </is>
      </c>
      <c r="O15" s="174" t="inlineStr">
        <is>
          <t>Bearish</t>
        </is>
      </c>
    </row>
    <row r="16">
      <c r="A16" t="inlineStr">
        <is>
          <t>23.03.2026</t>
        </is>
      </c>
      <c r="B16" s="170" t="inlineStr">
        <is>
          <t>MSCI EM ETF</t>
        </is>
      </c>
      <c r="C16" s="62" t="inlineStr">
        <is>
          <t>EEM</t>
        </is>
      </c>
      <c r="D16" s="164" t="n">
        <v>56.950001</v>
      </c>
      <c r="E16" s="164" t="n">
        <v>57.009998</v>
      </c>
      <c r="F16" s="164" t="n">
        <v>55.439999</v>
      </c>
      <c r="G16" s="164" t="n">
        <v>55.639999</v>
      </c>
      <c r="H16" s="172" t="n">
        <v>-0.034363</v>
      </c>
      <c r="I16" s="172" t="n">
        <v>-0.046934</v>
      </c>
      <c r="J16" s="172" t="n">
        <v>-0.097486</v>
      </c>
      <c r="K16" s="80" t="n">
        <v>72655437</v>
      </c>
      <c r="L16" s="80" t="n">
        <v>52407616</v>
      </c>
      <c r="M16" s="61" t="n">
        <v>1.39</v>
      </c>
      <c r="N16" s="175" t="inlineStr">
        <is>
          <t>BUY</t>
        </is>
      </c>
      <c r="O16" s="174" t="inlineStr">
        <is>
          <t>Bearish</t>
        </is>
      </c>
    </row>
    <row r="17">
      <c r="A17" t="inlineStr">
        <is>
          <t>23.03.2026</t>
        </is>
      </c>
      <c r="B17" s="170" t="inlineStr">
        <is>
          <t>BET Romania</t>
        </is>
      </c>
      <c r="C17" s="62" t="inlineStr">
        <is>
          <t>BET.RO</t>
        </is>
      </c>
      <c r="G17" s="176" t="inlineStr">
        <is>
          <t>N/A</t>
        </is>
      </c>
    </row>
    <row r="18" ht="26" customHeight="1" s="113">
      <c r="A18" s="99" t="inlineStr">
        <is>
          <t>--- ACTIUNI &amp; ETF ---</t>
        </is>
      </c>
      <c r="B18" s="166" t="n"/>
      <c r="C18" s="166" t="n"/>
      <c r="D18" s="166" t="n"/>
      <c r="E18" s="166" t="n"/>
      <c r="F18" s="166" t="n"/>
      <c r="G18" s="166" t="n"/>
      <c r="H18" s="166" t="n"/>
      <c r="I18" s="166" t="n"/>
      <c r="J18" s="166" t="n"/>
      <c r="K18" s="166" t="n"/>
      <c r="L18" s="166" t="n"/>
      <c r="M18" s="166" t="n"/>
      <c r="N18" s="166" t="n"/>
      <c r="O18" s="166" t="n"/>
    </row>
    <row r="19">
      <c r="A19" t="inlineStr">
        <is>
          <t>23.03.2026</t>
        </is>
      </c>
      <c r="B19" s="170" t="inlineStr">
        <is>
          <t>Apple</t>
        </is>
      </c>
      <c r="C19" s="62" t="inlineStr">
        <is>
          <t>AAPL</t>
        </is>
      </c>
      <c r="D19" s="164" t="n">
        <v>248.110001</v>
      </c>
      <c r="E19" s="164" t="n">
        <v>249.199905</v>
      </c>
      <c r="F19" s="164" t="n">
        <v>246</v>
      </c>
      <c r="G19" s="164" t="n">
        <v>247.990005</v>
      </c>
      <c r="H19" s="172" t="n">
        <v>-0.003896</v>
      </c>
      <c r="I19" s="172" t="n">
        <v>-0.019105</v>
      </c>
      <c r="J19" s="172" t="n">
        <v>-0.06833700000000001</v>
      </c>
      <c r="K19" s="177" t="n">
        <v>88331081</v>
      </c>
      <c r="L19" s="177" t="n">
        <v>41493414</v>
      </c>
      <c r="M19" s="178" t="n">
        <v>2.13</v>
      </c>
      <c r="N19" s="175" t="inlineStr">
        <is>
          <t>BUY</t>
        </is>
      </c>
      <c r="O19" s="174" t="inlineStr">
        <is>
          <t>Bearish</t>
        </is>
      </c>
    </row>
    <row r="20">
      <c r="A20" t="inlineStr">
        <is>
          <t>23.03.2026</t>
        </is>
      </c>
      <c r="B20" s="170" t="inlineStr">
        <is>
          <t>Microsoft</t>
        </is>
      </c>
      <c r="C20" s="62" t="inlineStr">
        <is>
          <t>MSFT</t>
        </is>
      </c>
      <c r="D20" s="164" t="n">
        <v>386.26001</v>
      </c>
      <c r="E20" s="164" t="n">
        <v>387</v>
      </c>
      <c r="F20" s="164" t="n">
        <v>380.119995</v>
      </c>
      <c r="G20" s="164" t="n">
        <v>381.850006</v>
      </c>
      <c r="H20" s="172" t="n">
        <v>-0.018431</v>
      </c>
      <c r="I20" s="172" t="n">
        <v>-0.045256</v>
      </c>
      <c r="J20" s="172" t="n">
        <v>-0.006815</v>
      </c>
      <c r="K20" s="177" t="n">
        <v>50853154</v>
      </c>
      <c r="L20" s="177" t="n">
        <v>34172682</v>
      </c>
      <c r="M20" s="178" t="n">
        <v>1.49</v>
      </c>
      <c r="N20" s="173" t="inlineStr">
        <is>
          <t>WAIT</t>
        </is>
      </c>
      <c r="O20" s="174" t="inlineStr">
        <is>
          <t>Bearish</t>
        </is>
      </c>
    </row>
    <row r="21">
      <c r="A21" t="inlineStr">
        <is>
          <t>23.03.2026</t>
        </is>
      </c>
      <c r="B21" s="170" t="inlineStr">
        <is>
          <t>NVIDIA</t>
        </is>
      </c>
      <c r="C21" s="62" t="inlineStr">
        <is>
          <t>NVDA</t>
        </is>
      </c>
      <c r="D21" s="164" t="n">
        <v>178</v>
      </c>
      <c r="E21" s="164" t="n">
        <v>178.259995</v>
      </c>
      <c r="F21" s="164" t="n">
        <v>171.725006</v>
      </c>
      <c r="G21" s="164" t="n">
        <v>172.929993</v>
      </c>
      <c r="H21" s="172" t="n">
        <v>-0.03153</v>
      </c>
      <c r="I21" s="172" t="n">
        <v>-0.056162</v>
      </c>
      <c r="J21" s="172" t="n">
        <v>-0.09715799999999999</v>
      </c>
      <c r="K21" s="177" t="n">
        <v>241323528</v>
      </c>
      <c r="L21" s="177" t="n">
        <v>200483066</v>
      </c>
      <c r="M21" s="178" t="n">
        <v>1.2</v>
      </c>
      <c r="N21" s="173" t="inlineStr">
        <is>
          <t>WAIT</t>
        </is>
      </c>
      <c r="O21" s="174" t="inlineStr">
        <is>
          <t>Bearish</t>
        </is>
      </c>
    </row>
    <row r="22">
      <c r="A22" t="inlineStr">
        <is>
          <t>23.03.2026</t>
        </is>
      </c>
      <c r="B22" s="170" t="inlineStr">
        <is>
          <t>Alphabet</t>
        </is>
      </c>
      <c r="C22" s="62" t="inlineStr">
        <is>
          <t>GOOGL</t>
        </is>
      </c>
      <c r="D22" s="164" t="n">
        <v>305.98999</v>
      </c>
      <c r="E22" s="164" t="n">
        <v>306</v>
      </c>
      <c r="F22" s="164" t="n">
        <v>298.269989</v>
      </c>
      <c r="G22" s="164" t="n">
        <v>301</v>
      </c>
      <c r="H22" s="172" t="n">
        <v>-0.019959</v>
      </c>
      <c r="I22" s="172" t="n">
        <v>-0.014923</v>
      </c>
      <c r="J22" s="172" t="n">
        <v>-0.032997</v>
      </c>
      <c r="K22" s="177" t="n">
        <v>44364079</v>
      </c>
      <c r="L22" s="177" t="n">
        <v>29472503</v>
      </c>
      <c r="M22" s="178" t="n">
        <v>1.51</v>
      </c>
      <c r="N22" s="175" t="inlineStr">
        <is>
          <t>BUY</t>
        </is>
      </c>
      <c r="O22" s="174" t="inlineStr">
        <is>
          <t>Bearish</t>
        </is>
      </c>
    </row>
    <row r="23">
      <c r="A23" t="inlineStr">
        <is>
          <t>23.03.2026</t>
        </is>
      </c>
      <c r="B23" s="170" t="inlineStr">
        <is>
          <t>Amazon</t>
        </is>
      </c>
      <c r="C23" s="62" t="inlineStr">
        <is>
          <t>AMZN</t>
        </is>
      </c>
      <c r="D23" s="164" t="n">
        <v>207.5</v>
      </c>
      <c r="E23" s="164" t="n">
        <v>207.539902</v>
      </c>
      <c r="F23" s="164" t="n">
        <v>204.315994</v>
      </c>
      <c r="G23" s="164" t="n">
        <v>205.369995</v>
      </c>
      <c r="H23" s="172" t="n">
        <v>-0.016239</v>
      </c>
      <c r="I23" s="172" t="n">
        <v>-0.030084</v>
      </c>
      <c r="J23" s="179" t="n">
        <v>0.000487</v>
      </c>
      <c r="K23" s="177" t="n">
        <v>63694603</v>
      </c>
      <c r="L23" s="177" t="n">
        <v>46347570</v>
      </c>
      <c r="M23" s="178" t="n">
        <v>1.37</v>
      </c>
      <c r="N23" s="173" t="inlineStr">
        <is>
          <t>WAIT</t>
        </is>
      </c>
      <c r="O23" s="174" t="inlineStr">
        <is>
          <t>Bearish</t>
        </is>
      </c>
    </row>
    <row r="24">
      <c r="A24" t="inlineStr">
        <is>
          <t>23.03.2026</t>
        </is>
      </c>
      <c r="B24" s="170" t="inlineStr">
        <is>
          <t>Meta</t>
        </is>
      </c>
      <c r="C24" s="62" t="inlineStr">
        <is>
          <t>META</t>
        </is>
      </c>
      <c r="D24" s="164" t="n">
        <v>603.530029</v>
      </c>
      <c r="E24" s="164" t="n">
        <v>603.955017</v>
      </c>
      <c r="F24" s="164" t="n">
        <v>587.27002</v>
      </c>
      <c r="G24" s="164" t="n">
        <v>593.659973</v>
      </c>
      <c r="H24" s="172" t="n">
        <v>-0.021493</v>
      </c>
      <c r="I24" s="172" t="n">
        <v>-0.053853</v>
      </c>
      <c r="J24" s="172" t="n">
        <v>-0.067606</v>
      </c>
      <c r="K24" s="177" t="n">
        <v>21214898</v>
      </c>
      <c r="L24" s="177" t="n">
        <v>12518879</v>
      </c>
      <c r="M24" s="178" t="n">
        <v>1.69</v>
      </c>
      <c r="N24" s="173" t="inlineStr">
        <is>
          <t>WAIT</t>
        </is>
      </c>
      <c r="O24" s="174" t="inlineStr">
        <is>
          <t>Bearish</t>
        </is>
      </c>
    </row>
    <row r="25">
      <c r="A25" t="inlineStr">
        <is>
          <t>23.03.2026</t>
        </is>
      </c>
      <c r="B25" s="170" t="inlineStr">
        <is>
          <t>Tesla</t>
        </is>
      </c>
      <c r="C25" s="62" t="inlineStr">
        <is>
          <t>TSLA</t>
        </is>
      </c>
      <c r="D25" s="164" t="n">
        <v>379.390015</v>
      </c>
      <c r="E25" s="164" t="n">
        <v>379.890015</v>
      </c>
      <c r="F25" s="164" t="n">
        <v>364.460114</v>
      </c>
      <c r="G25" s="164" t="n">
        <v>367.959991</v>
      </c>
      <c r="H25" s="172" t="n">
        <v>-0.032448</v>
      </c>
      <c r="I25" s="172" t="n">
        <v>-0.069775</v>
      </c>
      <c r="J25" s="172" t="n">
        <v>-0.079709</v>
      </c>
      <c r="K25" s="177" t="n">
        <v>78628603</v>
      </c>
      <c r="L25" s="177" t="n">
        <v>60269380</v>
      </c>
      <c r="M25" s="178" t="n">
        <v>1.3</v>
      </c>
      <c r="N25" s="175" t="inlineStr">
        <is>
          <t>BUY</t>
        </is>
      </c>
      <c r="O25" s="174" t="inlineStr">
        <is>
          <t>Bearish</t>
        </is>
      </c>
    </row>
    <row r="26">
      <c r="A26" t="inlineStr">
        <is>
          <t>23.03.2026</t>
        </is>
      </c>
      <c r="B26" s="170" t="inlineStr">
        <is>
          <t>AMD</t>
        </is>
      </c>
      <c r="C26" s="62" t="inlineStr">
        <is>
          <t>AMD</t>
        </is>
      </c>
      <c r="D26" s="164" t="n">
        <v>205.419006</v>
      </c>
      <c r="E26" s="164" t="n">
        <v>206.300003</v>
      </c>
      <c r="F26" s="164" t="n">
        <v>198.259995</v>
      </c>
      <c r="G26" s="164" t="n">
        <v>201.330002</v>
      </c>
      <c r="H26" s="172" t="n">
        <v>-0.019194</v>
      </c>
      <c r="I26" s="179" t="n">
        <v>0.024163</v>
      </c>
      <c r="J26" s="179" t="n">
        <v>0.024059</v>
      </c>
      <c r="K26" s="177" t="n">
        <v>32666718</v>
      </c>
      <c r="L26" s="177" t="n">
        <v>34864825</v>
      </c>
      <c r="M26" s="178" t="n">
        <v>0.9399999999999999</v>
      </c>
      <c r="N26" s="175" t="inlineStr">
        <is>
          <t>BUY</t>
        </is>
      </c>
      <c r="O26" s="174" t="inlineStr">
        <is>
          <t>Bearish</t>
        </is>
      </c>
    </row>
    <row r="27">
      <c r="A27" t="inlineStr">
        <is>
          <t>23.03.2026</t>
        </is>
      </c>
      <c r="B27" s="170" t="inlineStr">
        <is>
          <t>Intel</t>
        </is>
      </c>
      <c r="C27" s="62" t="inlineStr">
        <is>
          <t>INTC</t>
        </is>
      </c>
      <c r="D27" s="164" t="n">
        <v>46.91</v>
      </c>
      <c r="E27" s="164" t="n">
        <v>47.549999</v>
      </c>
      <c r="F27" s="164" t="n">
        <v>43.641998</v>
      </c>
      <c r="G27" s="164" t="n">
        <v>43.869999</v>
      </c>
      <c r="H27" s="172" t="n">
        <v>-0.050022</v>
      </c>
      <c r="I27" s="172" t="n">
        <v>-0.04130200000000001</v>
      </c>
      <c r="J27" s="179" t="n">
        <v>0.005501000000000001</v>
      </c>
      <c r="K27" s="177" t="n">
        <v>162814210</v>
      </c>
      <c r="L27" s="177" t="n">
        <v>84449785</v>
      </c>
      <c r="M27" s="178" t="n">
        <v>1.93</v>
      </c>
      <c r="N27" s="173" t="inlineStr">
        <is>
          <t>WAIT</t>
        </is>
      </c>
      <c r="O27" s="174" t="inlineStr">
        <is>
          <t>Bearish</t>
        </is>
      </c>
    </row>
    <row r="28">
      <c r="A28" t="inlineStr">
        <is>
          <t>23.03.2026</t>
        </is>
      </c>
      <c r="B28" s="170" t="inlineStr">
        <is>
          <t>Broadcom</t>
        </is>
      </c>
      <c r="C28" s="62" t="inlineStr">
        <is>
          <t>AVGO</t>
        </is>
      </c>
      <c r="D28" s="164" t="n">
        <v>319.584991</v>
      </c>
      <c r="E28" s="164" t="n">
        <v>321.51001</v>
      </c>
      <c r="F28" s="164" t="n">
        <v>309.920013</v>
      </c>
      <c r="G28" s="164" t="n">
        <v>310.51001</v>
      </c>
      <c r="H28" s="172" t="n">
        <v>-0.029171</v>
      </c>
      <c r="I28" s="172" t="n">
        <v>-0.044349</v>
      </c>
      <c r="J28" s="172" t="n">
        <v>-0.06002900000000001</v>
      </c>
      <c r="K28" s="177" t="n">
        <v>36782613</v>
      </c>
      <c r="L28" s="177" t="n">
        <v>29796175</v>
      </c>
      <c r="M28" s="178" t="n">
        <v>1.23</v>
      </c>
      <c r="N28" s="173" t="inlineStr">
        <is>
          <t>WAIT</t>
        </is>
      </c>
      <c r="O28" s="174" t="inlineStr">
        <is>
          <t>Bearish</t>
        </is>
      </c>
    </row>
    <row r="29">
      <c r="A29" t="inlineStr">
        <is>
          <t>23.03.2026</t>
        </is>
      </c>
      <c r="B29" s="170" t="inlineStr">
        <is>
          <t>ASML</t>
        </is>
      </c>
      <c r="C29" s="62" t="inlineStr">
        <is>
          <t>ASML</t>
        </is>
      </c>
      <c r="D29" s="164" t="n">
        <v>1358.219971</v>
      </c>
      <c r="E29" s="164" t="n">
        <v>1370</v>
      </c>
      <c r="F29" s="164" t="n">
        <v>1291.099976</v>
      </c>
      <c r="G29" s="164" t="n">
        <v>1317.25</v>
      </c>
      <c r="H29" s="172" t="n">
        <v>-0.03596299999999999</v>
      </c>
      <c r="I29" s="172" t="n">
        <v>-0.04239</v>
      </c>
      <c r="J29" s="172" t="n">
        <v>-0.113554</v>
      </c>
      <c r="K29" s="177" t="n">
        <v>2645128</v>
      </c>
      <c r="L29" s="177" t="n">
        <v>1602386</v>
      </c>
      <c r="M29" s="178" t="n">
        <v>1.65</v>
      </c>
      <c r="N29" s="175" t="inlineStr">
        <is>
          <t>BUY</t>
        </is>
      </c>
      <c r="O29" s="174" t="inlineStr">
        <is>
          <t>Bearish</t>
        </is>
      </c>
    </row>
    <row r="30">
      <c r="A30" t="inlineStr">
        <is>
          <t>23.03.2026</t>
        </is>
      </c>
      <c r="B30" s="170" t="inlineStr">
        <is>
          <t>Taiwan Semi</t>
        </is>
      </c>
      <c r="C30" s="62" t="inlineStr">
        <is>
          <t>TSM</t>
        </is>
      </c>
      <c r="D30" s="164" t="n">
        <v>336.679993</v>
      </c>
      <c r="E30" s="164" t="n">
        <v>337.589996</v>
      </c>
      <c r="F30" s="164" t="n">
        <v>325.910004</v>
      </c>
      <c r="G30" s="164" t="n">
        <v>329.23999</v>
      </c>
      <c r="H30" s="172" t="n">
        <v>-0.028189</v>
      </c>
      <c r="I30" s="172" t="n">
        <v>-0.029575</v>
      </c>
      <c r="J30" s="172" t="n">
        <v>-0.107751</v>
      </c>
      <c r="K30" s="177" t="n">
        <v>17273075</v>
      </c>
      <c r="L30" s="177" t="n">
        <v>13820123</v>
      </c>
      <c r="M30" s="178" t="n">
        <v>1.25</v>
      </c>
      <c r="N30" s="175" t="inlineStr">
        <is>
          <t>BUY</t>
        </is>
      </c>
      <c r="O30" s="174" t="inlineStr">
        <is>
          <t>Bearish</t>
        </is>
      </c>
    </row>
    <row r="31">
      <c r="A31" t="inlineStr">
        <is>
          <t>23.03.2026</t>
        </is>
      </c>
      <c r="B31" s="170" t="inlineStr">
        <is>
          <t>Palantir</t>
        </is>
      </c>
      <c r="C31" s="62" t="inlineStr">
        <is>
          <t>PLTR</t>
        </is>
      </c>
      <c r="D31" s="164" t="n">
        <v>155.25</v>
      </c>
      <c r="E31" s="164" t="n">
        <v>156.600006</v>
      </c>
      <c r="F31" s="164" t="n">
        <v>149.089996</v>
      </c>
      <c r="G31" s="164" t="n">
        <v>150.679993</v>
      </c>
      <c r="H31" s="172" t="n">
        <v>-0.032117</v>
      </c>
      <c r="I31" s="172" t="n">
        <v>-0.013358</v>
      </c>
      <c r="J31" s="179" t="n">
        <v>0.153752</v>
      </c>
      <c r="K31" s="177" t="n">
        <v>48700189</v>
      </c>
      <c r="L31" s="177" t="n">
        <v>49706904</v>
      </c>
      <c r="M31" s="178" t="n">
        <v>0.98</v>
      </c>
      <c r="N31" s="173" t="inlineStr">
        <is>
          <t>WAIT</t>
        </is>
      </c>
      <c r="O31" s="173" t="inlineStr">
        <is>
          <t>Sideways</t>
        </is>
      </c>
    </row>
    <row r="32">
      <c r="A32" t="inlineStr">
        <is>
          <t>23.03.2026</t>
        </is>
      </c>
      <c r="B32" s="170" t="inlineStr">
        <is>
          <t>Salesforce</t>
        </is>
      </c>
      <c r="C32" s="62" t="inlineStr">
        <is>
          <t>CRM</t>
        </is>
      </c>
      <c r="D32" s="164" t="n">
        <v>193.210007</v>
      </c>
      <c r="E32" s="164" t="n">
        <v>195.669907</v>
      </c>
      <c r="F32" s="164" t="n">
        <v>190</v>
      </c>
      <c r="G32" s="164" t="n">
        <v>195.380005</v>
      </c>
      <c r="H32" s="179" t="n">
        <v>0.002</v>
      </c>
      <c r="I32" s="172" t="n">
        <v>-0.014924</v>
      </c>
      <c r="J32" s="179" t="n">
        <v>0.09665499999999999</v>
      </c>
      <c r="K32" s="177" t="n">
        <v>11636617</v>
      </c>
      <c r="L32" s="177" t="n">
        <v>14427525</v>
      </c>
      <c r="M32" s="178" t="n">
        <v>0.8100000000000001</v>
      </c>
      <c r="N32" s="173" t="inlineStr">
        <is>
          <t>WAIT</t>
        </is>
      </c>
      <c r="O32" s="174" t="inlineStr">
        <is>
          <t>Bearish</t>
        </is>
      </c>
    </row>
    <row r="33">
      <c r="A33" t="inlineStr">
        <is>
          <t>23.03.2026</t>
        </is>
      </c>
      <c r="B33" s="170" t="inlineStr">
        <is>
          <t>Oracle</t>
        </is>
      </c>
      <c r="C33" s="62" t="inlineStr">
        <is>
          <t>ORCL</t>
        </is>
      </c>
      <c r="D33" s="164" t="n">
        <v>153.050003</v>
      </c>
      <c r="E33" s="164" t="n">
        <v>153.244995</v>
      </c>
      <c r="F33" s="164" t="n">
        <v>148</v>
      </c>
      <c r="G33" s="164" t="n">
        <v>149.679993</v>
      </c>
      <c r="H33" s="172" t="n">
        <v>-0.037552</v>
      </c>
      <c r="I33" s="172" t="n">
        <v>-0.040328</v>
      </c>
      <c r="J33" s="179" t="n">
        <v>0.059231</v>
      </c>
      <c r="K33" s="177" t="n">
        <v>36483176</v>
      </c>
      <c r="L33" s="177" t="n">
        <v>30562768</v>
      </c>
      <c r="M33" s="178" t="n">
        <v>1.19</v>
      </c>
      <c r="N33" s="173" t="inlineStr">
        <is>
          <t>WAIT</t>
        </is>
      </c>
      <c r="O33" s="174" t="inlineStr">
        <is>
          <t>Bearish</t>
        </is>
      </c>
    </row>
    <row r="34">
      <c r="A34" t="inlineStr">
        <is>
          <t>23.03.2026</t>
        </is>
      </c>
      <c r="B34" s="170" t="inlineStr">
        <is>
          <t>JPMorgan</t>
        </is>
      </c>
      <c r="C34" s="62" t="inlineStr">
        <is>
          <t>JPM</t>
        </is>
      </c>
      <c r="D34" s="164" t="n">
        <v>288.079987</v>
      </c>
      <c r="E34" s="164" t="n">
        <v>290.709991</v>
      </c>
      <c r="F34" s="164" t="n">
        <v>285.350006</v>
      </c>
      <c r="G34" s="164" t="n">
        <v>286.559998</v>
      </c>
      <c r="H34" s="172" t="n">
        <v>-0.004896</v>
      </c>
      <c r="I34" s="179" t="n">
        <v>0.001398</v>
      </c>
      <c r="J34" s="172" t="n">
        <v>-0.037323</v>
      </c>
      <c r="K34" s="177" t="n">
        <v>22305760</v>
      </c>
      <c r="L34" s="177" t="n">
        <v>11313388</v>
      </c>
      <c r="M34" s="178" t="n">
        <v>1.97</v>
      </c>
      <c r="N34" s="175" t="inlineStr">
        <is>
          <t>BUY</t>
        </is>
      </c>
      <c r="O34" s="174" t="inlineStr">
        <is>
          <t>Bearish</t>
        </is>
      </c>
    </row>
    <row r="35">
      <c r="A35" t="inlineStr">
        <is>
          <t>23.03.2026</t>
        </is>
      </c>
      <c r="B35" s="170" t="inlineStr">
        <is>
          <t>Goldman Sachs</t>
        </is>
      </c>
      <c r="C35" s="62" t="inlineStr">
        <is>
          <t>GS</t>
        </is>
      </c>
      <c r="D35" s="164" t="n">
        <v>807</v>
      </c>
      <c r="E35" s="164" t="n">
        <v>827.22998</v>
      </c>
      <c r="F35" s="164" t="n">
        <v>804.926514</v>
      </c>
      <c r="G35" s="164" t="n">
        <v>813.530029</v>
      </c>
      <c r="H35" s="179" t="n">
        <v>0.004978</v>
      </c>
      <c r="I35" s="179" t="n">
        <v>0.023604</v>
      </c>
      <c r="J35" s="172" t="n">
        <v>-0.08349000000000001</v>
      </c>
      <c r="K35" s="177" t="n">
        <v>2883596</v>
      </c>
      <c r="L35" s="177" t="n">
        <v>2601694</v>
      </c>
      <c r="M35" s="178" t="n">
        <v>1.11</v>
      </c>
      <c r="N35" s="175" t="inlineStr">
        <is>
          <t>BUY</t>
        </is>
      </c>
      <c r="O35" s="174" t="inlineStr">
        <is>
          <t>Bearish</t>
        </is>
      </c>
    </row>
    <row r="36">
      <c r="A36" t="inlineStr">
        <is>
          <t>23.03.2026</t>
        </is>
      </c>
      <c r="B36" s="170" t="inlineStr">
        <is>
          <t>Berkshire B</t>
        </is>
      </c>
      <c r="C36" s="62" t="inlineStr">
        <is>
          <t>BRK-B</t>
        </is>
      </c>
      <c r="D36" s="164" t="n">
        <v>481.630005</v>
      </c>
      <c r="E36" s="164" t="n">
        <v>485.119995</v>
      </c>
      <c r="F36" s="164" t="n">
        <v>479.660004</v>
      </c>
      <c r="G36" s="164" t="n">
        <v>480.940002</v>
      </c>
      <c r="H36" s="172" t="n">
        <v>-0.001122</v>
      </c>
      <c r="I36" s="172" t="n">
        <v>-0.022897</v>
      </c>
      <c r="J36" s="172" t="n">
        <v>-0.026615</v>
      </c>
      <c r="K36" s="177" t="n">
        <v>7770997</v>
      </c>
      <c r="L36" s="177" t="n">
        <v>5176679</v>
      </c>
      <c r="M36" s="178" t="n">
        <v>1.5</v>
      </c>
      <c r="N36" s="173" t="inlineStr">
        <is>
          <t>WAIT</t>
        </is>
      </c>
      <c r="O36" s="174" t="inlineStr">
        <is>
          <t>Bearish</t>
        </is>
      </c>
    </row>
    <row r="37">
      <c r="A37" t="inlineStr">
        <is>
          <t>23.03.2026</t>
        </is>
      </c>
      <c r="B37" s="170" t="inlineStr">
        <is>
          <t>Visa</t>
        </is>
      </c>
      <c r="C37" s="62" t="inlineStr">
        <is>
          <t>V</t>
        </is>
      </c>
      <c r="D37" s="164" t="n">
        <v>299.850006</v>
      </c>
      <c r="E37" s="164" t="n">
        <v>302.920013</v>
      </c>
      <c r="F37" s="164" t="n">
        <v>299.010101</v>
      </c>
      <c r="G37" s="164" t="n">
        <v>301.619995</v>
      </c>
      <c r="H37" s="179" t="n">
        <v>0.006373</v>
      </c>
      <c r="I37" s="172" t="n">
        <v>-0.027377</v>
      </c>
      <c r="J37" s="172" t="n">
        <v>-0.015986</v>
      </c>
      <c r="K37" s="177" t="n">
        <v>13993610</v>
      </c>
      <c r="L37" s="177" t="n">
        <v>7834420</v>
      </c>
      <c r="M37" s="178" t="n">
        <v>1.79</v>
      </c>
      <c r="N37" s="173" t="inlineStr">
        <is>
          <t>WAIT</t>
        </is>
      </c>
      <c r="O37" s="174" t="inlineStr">
        <is>
          <t>Bearish</t>
        </is>
      </c>
    </row>
    <row r="38">
      <c r="A38" t="inlineStr">
        <is>
          <t>23.03.2026</t>
        </is>
      </c>
      <c r="B38" s="170" t="inlineStr">
        <is>
          <t>Mastercard</t>
        </is>
      </c>
      <c r="C38" s="62" t="inlineStr">
        <is>
          <t>MA</t>
        </is>
      </c>
      <c r="D38" s="164" t="n">
        <v>492.470001</v>
      </c>
      <c r="E38" s="164" t="n">
        <v>499.214996</v>
      </c>
      <c r="F38" s="164" t="n">
        <v>491.005005</v>
      </c>
      <c r="G38" s="164" t="n">
        <v>496.320007</v>
      </c>
      <c r="H38" s="179" t="n">
        <v>0.010547</v>
      </c>
      <c r="I38" s="172" t="n">
        <v>-0.023953</v>
      </c>
      <c r="J38" s="179" t="n">
        <v>0.000585</v>
      </c>
      <c r="K38" s="177" t="n">
        <v>5756518</v>
      </c>
      <c r="L38" s="177" t="n">
        <v>3855915</v>
      </c>
      <c r="M38" s="178" t="n">
        <v>1.49</v>
      </c>
      <c r="N38" s="173" t="inlineStr">
        <is>
          <t>WAIT</t>
        </is>
      </c>
      <c r="O38" s="174" t="inlineStr">
        <is>
          <t>Bearish</t>
        </is>
      </c>
    </row>
    <row r="39">
      <c r="A39" t="inlineStr">
        <is>
          <t>23.03.2026</t>
        </is>
      </c>
      <c r="B39" s="170" t="inlineStr">
        <is>
          <t>ExxonMobil</t>
        </is>
      </c>
      <c r="C39" s="62" t="inlineStr">
        <is>
          <t>XOM</t>
        </is>
      </c>
      <c r="D39" s="164" t="n">
        <v>159.350006</v>
      </c>
      <c r="E39" s="164" t="n">
        <v>162.440002</v>
      </c>
      <c r="F39" s="164" t="n">
        <v>159.139999</v>
      </c>
      <c r="G39" s="164" t="n">
        <v>159.669998</v>
      </c>
      <c r="H39" s="179" t="n">
        <v>0.009547</v>
      </c>
      <c r="I39" s="179" t="n">
        <v>0.015519</v>
      </c>
      <c r="J39" s="179" t="n">
        <v>0.059101</v>
      </c>
      <c r="K39" s="177" t="n">
        <v>27751863</v>
      </c>
      <c r="L39" s="177" t="n">
        <v>21803963</v>
      </c>
      <c r="M39" s="178" t="n">
        <v>1.27</v>
      </c>
      <c r="N39" s="175" t="inlineStr">
        <is>
          <t>BUY</t>
        </is>
      </c>
      <c r="O39" s="175" t="inlineStr">
        <is>
          <t>Bullish</t>
        </is>
      </c>
    </row>
    <row r="40">
      <c r="A40" t="inlineStr">
        <is>
          <t>23.03.2026</t>
        </is>
      </c>
      <c r="B40" s="170" t="inlineStr">
        <is>
          <t>Chevron</t>
        </is>
      </c>
      <c r="C40" s="62" t="inlineStr">
        <is>
          <t>CVX</t>
        </is>
      </c>
      <c r="D40" s="164" t="n">
        <v>201.399994</v>
      </c>
      <c r="E40" s="164" t="n">
        <v>205.074997</v>
      </c>
      <c r="F40" s="164" t="n">
        <v>201</v>
      </c>
      <c r="G40" s="164" t="n">
        <v>201.729996</v>
      </c>
      <c r="H40" s="179" t="n">
        <v>0.00144</v>
      </c>
      <c r="I40" s="179" t="n">
        <v>0.024843</v>
      </c>
      <c r="J40" s="179" t="n">
        <v>0.09096299999999999</v>
      </c>
      <c r="K40" s="177" t="n">
        <v>35212344</v>
      </c>
      <c r="L40" s="177" t="n">
        <v>14114142</v>
      </c>
      <c r="M40" s="178" t="n">
        <v>2.49</v>
      </c>
      <c r="N40" s="175" t="inlineStr">
        <is>
          <t>BUY</t>
        </is>
      </c>
      <c r="O40" s="175" t="inlineStr">
        <is>
          <t>Bullish</t>
        </is>
      </c>
    </row>
    <row r="41">
      <c r="A41" t="inlineStr">
        <is>
          <t>23.03.2026</t>
        </is>
      </c>
      <c r="B41" s="170" t="inlineStr">
        <is>
          <t>Shell</t>
        </is>
      </c>
      <c r="C41" s="62" t="inlineStr">
        <is>
          <t>SHEL</t>
        </is>
      </c>
      <c r="D41" s="164" t="n">
        <v>91.269997</v>
      </c>
      <c r="E41" s="164" t="n">
        <v>92.269997</v>
      </c>
      <c r="F41" s="164" t="n">
        <v>90.19000200000001</v>
      </c>
      <c r="G41" s="164" t="n">
        <v>90.44000200000001</v>
      </c>
      <c r="H41" s="172" t="n">
        <v>-0.008225</v>
      </c>
      <c r="I41" s="172" t="n">
        <v>-0.000442</v>
      </c>
      <c r="J41" s="179" t="n">
        <v>0.130924</v>
      </c>
      <c r="K41" s="177" t="n">
        <v>10783298</v>
      </c>
      <c r="L41" s="177" t="n">
        <v>6800243</v>
      </c>
      <c r="M41" s="178" t="n">
        <v>1.59</v>
      </c>
      <c r="N41" s="175" t="inlineStr">
        <is>
          <t>BUY</t>
        </is>
      </c>
      <c r="O41" s="175" t="inlineStr">
        <is>
          <t>Bullish</t>
        </is>
      </c>
    </row>
    <row r="42">
      <c r="A42" t="inlineStr">
        <is>
          <t>23.03.2026</t>
        </is>
      </c>
      <c r="B42" s="170" t="inlineStr">
        <is>
          <t>Caterpillar</t>
        </is>
      </c>
      <c r="C42" s="62" t="inlineStr">
        <is>
          <t>CAT</t>
        </is>
      </c>
      <c r="D42" s="164" t="n">
        <v>686.630005</v>
      </c>
      <c r="E42" s="164" t="n">
        <v>694.059998</v>
      </c>
      <c r="F42" s="164" t="n">
        <v>670.440002</v>
      </c>
      <c r="G42" s="164" t="n">
        <v>680.880005</v>
      </c>
      <c r="H42" s="172" t="n">
        <v>-0.011283</v>
      </c>
      <c r="I42" s="172" t="n">
        <v>-0.027009</v>
      </c>
      <c r="J42" s="172" t="n">
        <v>-0.099925</v>
      </c>
      <c r="K42" s="177" t="n">
        <v>4955787</v>
      </c>
      <c r="L42" s="177" t="n">
        <v>2853444</v>
      </c>
      <c r="M42" s="178" t="n">
        <v>1.74</v>
      </c>
      <c r="N42" s="175" t="inlineStr">
        <is>
          <t>BUY</t>
        </is>
      </c>
      <c r="O42" s="174" t="inlineStr">
        <is>
          <t>Bearish</t>
        </is>
      </c>
    </row>
    <row r="43">
      <c r="A43" t="inlineStr">
        <is>
          <t>23.03.2026</t>
        </is>
      </c>
      <c r="B43" s="170" t="inlineStr">
        <is>
          <t>Boeing</t>
        </is>
      </c>
      <c r="C43" s="62" t="inlineStr">
        <is>
          <t>BA</t>
        </is>
      </c>
      <c r="D43" s="164" t="n">
        <v>201.050003</v>
      </c>
      <c r="E43" s="164" t="n">
        <v>201.960007</v>
      </c>
      <c r="F43" s="164" t="n">
        <v>192.550003</v>
      </c>
      <c r="G43" s="164" t="n">
        <v>195.119995</v>
      </c>
      <c r="H43" s="172" t="n">
        <v>-0.030122</v>
      </c>
      <c r="I43" s="172" t="n">
        <v>-0.085961</v>
      </c>
      <c r="J43" s="172" t="n">
        <v>-0.153272</v>
      </c>
      <c r="K43" s="177" t="n">
        <v>12845166</v>
      </c>
      <c r="L43" s="177" t="n">
        <v>7382703</v>
      </c>
      <c r="M43" s="178" t="n">
        <v>1.74</v>
      </c>
      <c r="N43" s="175" t="inlineStr">
        <is>
          <t>BUY</t>
        </is>
      </c>
      <c r="O43" s="174" t="inlineStr">
        <is>
          <t>Bearish</t>
        </is>
      </c>
    </row>
    <row r="44">
      <c r="A44" t="inlineStr">
        <is>
          <t>23.03.2026</t>
        </is>
      </c>
      <c r="B44" s="170" t="inlineStr">
        <is>
          <t>SPY</t>
        </is>
      </c>
      <c r="C44" s="62" t="inlineStr">
        <is>
          <t>SPY</t>
        </is>
      </c>
      <c r="D44" s="164" t="n">
        <v>656.51001</v>
      </c>
      <c r="E44" s="164" t="n">
        <v>656.690002</v>
      </c>
      <c r="F44" s="164" t="n">
        <v>644.719971</v>
      </c>
      <c r="G44" s="164" t="n">
        <v>648.570007</v>
      </c>
      <c r="H44" s="172" t="n">
        <v>-0.014336</v>
      </c>
      <c r="I44" s="172" t="n">
        <v>-0.027934</v>
      </c>
      <c r="J44" s="172" t="n">
        <v>-0.04696500000000001</v>
      </c>
      <c r="K44" s="177" t="n">
        <v>138283514</v>
      </c>
      <c r="L44" s="177" t="n">
        <v>90706450</v>
      </c>
      <c r="M44" s="178" t="n">
        <v>1.52</v>
      </c>
      <c r="N44" s="175" t="inlineStr">
        <is>
          <t>BUY</t>
        </is>
      </c>
      <c r="O44" s="174" t="inlineStr">
        <is>
          <t>Bearish</t>
        </is>
      </c>
    </row>
    <row r="45">
      <c r="A45" t="inlineStr">
        <is>
          <t>23.03.2026</t>
        </is>
      </c>
      <c r="B45" s="170" t="inlineStr">
        <is>
          <t>QQQ</t>
        </is>
      </c>
      <c r="C45" s="62" t="inlineStr">
        <is>
          <t>QQQ</t>
        </is>
      </c>
      <c r="D45" s="164" t="n">
        <v>591.070007</v>
      </c>
      <c r="E45" s="164" t="n">
        <v>591.150024</v>
      </c>
      <c r="F45" s="164" t="n">
        <v>578.539978</v>
      </c>
      <c r="G45" s="164" t="n">
        <v>582.059998</v>
      </c>
      <c r="H45" s="172" t="n">
        <v>-0.018482</v>
      </c>
      <c r="I45" s="172" t="n">
        <v>-0.030514</v>
      </c>
      <c r="J45" s="172" t="n">
        <v>-0.032174</v>
      </c>
      <c r="K45" s="177" t="n">
        <v>91964677</v>
      </c>
      <c r="L45" s="177" t="n">
        <v>71507218</v>
      </c>
      <c r="M45" s="178" t="n">
        <v>1.29</v>
      </c>
      <c r="N45" s="175" t="inlineStr">
        <is>
          <t>BUY</t>
        </is>
      </c>
      <c r="O45" s="174" t="inlineStr">
        <is>
          <t>Bearish</t>
        </is>
      </c>
    </row>
    <row r="46">
      <c r="A46" t="inlineStr">
        <is>
          <t>23.03.2026</t>
        </is>
      </c>
      <c r="B46" s="170" t="inlineStr">
        <is>
          <t>GLD ETF</t>
        </is>
      </c>
      <c r="C46" s="62" t="inlineStr">
        <is>
          <t>GLD</t>
        </is>
      </c>
      <c r="D46" s="164" t="n">
        <v>428.089996</v>
      </c>
      <c r="E46" s="164" t="n">
        <v>428.589996</v>
      </c>
      <c r="F46" s="164" t="n">
        <v>411.269989</v>
      </c>
      <c r="G46" s="164" t="n">
        <v>413.380005</v>
      </c>
      <c r="H46" s="172" t="n">
        <v>-0.030557</v>
      </c>
      <c r="I46" s="172" t="n">
        <v>-0.102187</v>
      </c>
      <c r="J46" s="172" t="n">
        <v>-0.141082</v>
      </c>
      <c r="K46" s="177" t="n">
        <v>26108743</v>
      </c>
      <c r="L46" s="177" t="n">
        <v>14462397</v>
      </c>
      <c r="M46" s="178" t="n">
        <v>1.81</v>
      </c>
      <c r="N46" s="175" t="inlineStr">
        <is>
          <t>BUY</t>
        </is>
      </c>
      <c r="O46" s="174" t="inlineStr">
        <is>
          <t>Bearish</t>
        </is>
      </c>
    </row>
    <row r="47">
      <c r="A47" t="inlineStr">
        <is>
          <t>23.03.2026</t>
        </is>
      </c>
      <c r="B47" s="170" t="inlineStr">
        <is>
          <t>TLT Bond ETF</t>
        </is>
      </c>
      <c r="C47" s="62" t="inlineStr">
        <is>
          <t>TLT</t>
        </is>
      </c>
      <c r="D47" s="164" t="n">
        <v>86.80999799999999</v>
      </c>
      <c r="E47" s="164" t="n">
        <v>86.860001</v>
      </c>
      <c r="F47" s="164" t="n">
        <v>85.760002</v>
      </c>
      <c r="G47" s="164" t="n">
        <v>85.83000199999999</v>
      </c>
      <c r="H47" s="172" t="n">
        <v>-0.018974</v>
      </c>
      <c r="I47" s="172" t="n">
        <v>-0.015824</v>
      </c>
      <c r="J47" s="172" t="n">
        <v>-0.04039</v>
      </c>
      <c r="K47" s="177" t="n">
        <v>78948515</v>
      </c>
      <c r="L47" s="177" t="n">
        <v>45160190</v>
      </c>
      <c r="M47" s="178" t="n">
        <v>1.75</v>
      </c>
      <c r="N47" s="175" t="inlineStr">
        <is>
          <t>BUY</t>
        </is>
      </c>
      <c r="O47" s="174" t="inlineStr">
        <is>
          <t>Bearish</t>
        </is>
      </c>
    </row>
    <row r="48">
      <c r="A48" t="inlineStr">
        <is>
          <t>23.03.2026</t>
        </is>
      </c>
      <c r="B48" s="170" t="inlineStr">
        <is>
          <t>ARKK</t>
        </is>
      </c>
      <c r="C48" s="62" t="inlineStr">
        <is>
          <t>ARKK</t>
        </is>
      </c>
      <c r="D48" s="164" t="n">
        <v>70.79499800000001</v>
      </c>
      <c r="E48" s="164" t="n">
        <v>70.910004</v>
      </c>
      <c r="F48" s="164" t="n">
        <v>68.324997</v>
      </c>
      <c r="G48" s="164" t="n">
        <v>69.150002</v>
      </c>
      <c r="H48" s="172" t="n">
        <v>-0.027016</v>
      </c>
      <c r="I48" s="172" t="n">
        <v>-0.04025</v>
      </c>
      <c r="J48" s="172" t="n">
        <v>-0.012143</v>
      </c>
      <c r="K48" s="177" t="n">
        <v>14561261</v>
      </c>
      <c r="L48" s="177" t="n">
        <v>11383713</v>
      </c>
      <c r="M48" s="178" t="n">
        <v>1.28</v>
      </c>
      <c r="N48" s="173" t="inlineStr">
        <is>
          <t>WAIT</t>
        </is>
      </c>
      <c r="O48" s="174" t="inlineStr">
        <is>
          <t>Bearish</t>
        </is>
      </c>
    </row>
    <row r="49" ht="39" customHeight="1" s="113">
      <c r="A49" s="99" t="inlineStr">
        <is>
          <t>--- CRYPTOCURRENCY ---</t>
        </is>
      </c>
      <c r="B49" s="166" t="n"/>
      <c r="C49" s="166" t="n"/>
      <c r="D49" s="166" t="n"/>
      <c r="E49" s="166" t="n"/>
      <c r="F49" s="166" t="n"/>
      <c r="G49" s="166" t="n"/>
      <c r="H49" s="166" t="n"/>
      <c r="I49" s="166" t="n"/>
      <c r="J49" s="166" t="n"/>
      <c r="K49" s="166" t="n"/>
      <c r="L49" s="166" t="n"/>
      <c r="M49" s="166" t="n"/>
      <c r="N49" s="166" t="n"/>
      <c r="O49" s="166" t="n"/>
    </row>
    <row r="50">
      <c r="A50" t="inlineStr">
        <is>
          <t>23.03.2026</t>
        </is>
      </c>
      <c r="B50" s="170" t="inlineStr">
        <is>
          <t>Bitcoin</t>
        </is>
      </c>
      <c r="C50" s="62" t="inlineStr">
        <is>
          <t>BTC-USD</t>
        </is>
      </c>
      <c r="D50" s="164" t="n">
        <v>67854.984375</v>
      </c>
      <c r="E50" s="164" t="n">
        <v>68107.21875</v>
      </c>
      <c r="F50" s="164" t="n">
        <v>67644.960938</v>
      </c>
      <c r="G50" s="164" t="n">
        <v>68107.21875</v>
      </c>
      <c r="H50" s="172" t="n">
        <v>-0.008794999999999999</v>
      </c>
      <c r="I50" s="172" t="n">
        <v>-0.04405000000000001</v>
      </c>
      <c r="J50" s="172" t="n">
        <v>-0.00273</v>
      </c>
      <c r="K50" s="177" t="n">
        <v>27901593600</v>
      </c>
      <c r="L50" s="177" t="n">
        <v>42936146939</v>
      </c>
      <c r="M50" s="178" t="n">
        <v>0.65</v>
      </c>
      <c r="N50" s="174" t="inlineStr">
        <is>
          <t>SELL</t>
        </is>
      </c>
      <c r="O50" s="174" t="inlineStr">
        <is>
          <t>Bearish</t>
        </is>
      </c>
    </row>
    <row r="51">
      <c r="A51" t="inlineStr">
        <is>
          <t>23.03.2026</t>
        </is>
      </c>
      <c r="B51" s="170" t="inlineStr">
        <is>
          <t>Ethereum</t>
        </is>
      </c>
      <c r="C51" s="62" t="inlineStr">
        <is>
          <t>ETH-USD</t>
        </is>
      </c>
      <c r="D51" s="164" t="n">
        <v>2053.429688</v>
      </c>
      <c r="E51" s="164" t="n">
        <v>2061.275879</v>
      </c>
      <c r="F51" s="164" t="n">
        <v>2041.544678</v>
      </c>
      <c r="G51" s="164" t="n">
        <v>2061.275879</v>
      </c>
      <c r="H51" s="172" t="n">
        <v>-0.007422</v>
      </c>
      <c r="I51" s="172" t="n">
        <v>-0.06461800000000001</v>
      </c>
      <c r="J51" s="179" t="n">
        <v>0.039595</v>
      </c>
      <c r="K51" s="177" t="n">
        <v>14564574208</v>
      </c>
      <c r="L51" s="177" t="n">
        <v>21246572400</v>
      </c>
      <c r="M51" s="178" t="n">
        <v>0.6899999999999999</v>
      </c>
      <c r="N51" s="173" t="inlineStr">
        <is>
          <t>WAIT</t>
        </is>
      </c>
      <c r="O51" s="173" t="inlineStr">
        <is>
          <t>Sideways</t>
        </is>
      </c>
    </row>
    <row r="52">
      <c r="A52" t="inlineStr">
        <is>
          <t>23.03.2026</t>
        </is>
      </c>
      <c r="B52" s="170" t="inlineStr">
        <is>
          <t>BNB</t>
        </is>
      </c>
      <c r="C52" s="62" t="inlineStr">
        <is>
          <t>BNB-USD</t>
        </is>
      </c>
      <c r="D52" s="164" t="n">
        <v>626.618958</v>
      </c>
      <c r="E52" s="164" t="n">
        <v>627.5261839999999</v>
      </c>
      <c r="F52" s="164" t="n">
        <v>623.522217</v>
      </c>
      <c r="G52" s="164" t="n">
        <v>627.5261839999999</v>
      </c>
      <c r="H52" s="172" t="n">
        <v>-0.004138</v>
      </c>
      <c r="I52" s="172" t="n">
        <v>-0.037624</v>
      </c>
      <c r="J52" s="172" t="n">
        <v>-0.009947000000000001</v>
      </c>
      <c r="K52" s="177" t="n">
        <v>1553783168</v>
      </c>
      <c r="L52" s="177" t="n">
        <v>1663915921</v>
      </c>
      <c r="M52" s="178" t="n">
        <v>0.93</v>
      </c>
      <c r="N52" s="174" t="inlineStr">
        <is>
          <t>SELL</t>
        </is>
      </c>
      <c r="O52" s="174" t="inlineStr">
        <is>
          <t>Bearish</t>
        </is>
      </c>
    </row>
    <row r="53">
      <c r="A53" t="inlineStr">
        <is>
          <t>23.03.2026</t>
        </is>
      </c>
      <c r="B53" s="170" t="inlineStr">
        <is>
          <t>Solana</t>
        </is>
      </c>
      <c r="C53" s="62" t="inlineStr">
        <is>
          <t>SOL-USD</t>
        </is>
      </c>
      <c r="D53" s="164" t="n">
        <v>86.150047</v>
      </c>
      <c r="E53" s="164" t="n">
        <v>86.55755600000001</v>
      </c>
      <c r="F53" s="164" t="n">
        <v>85.71389000000001</v>
      </c>
      <c r="G53" s="164" t="n">
        <v>86.55755600000001</v>
      </c>
      <c r="H53" s="172" t="n">
        <v>-0.010379</v>
      </c>
      <c r="I53" s="172" t="n">
        <v>-0.038951</v>
      </c>
      <c r="J53" s="172" t="n">
        <v>-0.005311</v>
      </c>
      <c r="K53" s="177" t="n">
        <v>2674943744</v>
      </c>
      <c r="L53" s="177" t="n">
        <v>3918838548</v>
      </c>
      <c r="M53" s="178" t="n">
        <v>0.68</v>
      </c>
      <c r="N53" s="173" t="inlineStr">
        <is>
          <t>WAIT</t>
        </is>
      </c>
      <c r="O53" s="173" t="inlineStr">
        <is>
          <t>Sideways</t>
        </is>
      </c>
    </row>
    <row r="54">
      <c r="A54" t="inlineStr">
        <is>
          <t>23.03.2026</t>
        </is>
      </c>
      <c r="B54" s="170" t="inlineStr">
        <is>
          <t>XRP</t>
        </is>
      </c>
      <c r="C54" s="62" t="inlineStr">
        <is>
          <t>XRP-USD</t>
        </is>
      </c>
      <c r="D54" s="164" t="n">
        <v>1.384869</v>
      </c>
      <c r="E54" s="164" t="n">
        <v>1.387921</v>
      </c>
      <c r="F54" s="164" t="n">
        <v>1.378005</v>
      </c>
      <c r="G54" s="164" t="n">
        <v>1.387762</v>
      </c>
      <c r="H54" s="172" t="n">
        <v>-0.013375</v>
      </c>
      <c r="I54" s="172" t="n">
        <v>-0.05198000000000001</v>
      </c>
      <c r="J54" s="179" t="n">
        <v>0.019991</v>
      </c>
      <c r="K54" s="177" t="n">
        <v>1566485504</v>
      </c>
      <c r="L54" s="177" t="n">
        <v>2553028507</v>
      </c>
      <c r="M54" s="178" t="n">
        <v>0.61</v>
      </c>
      <c r="N54" s="173" t="inlineStr">
        <is>
          <t>WAIT</t>
        </is>
      </c>
      <c r="O54" s="174" t="inlineStr">
        <is>
          <t>Bearish</t>
        </is>
      </c>
    </row>
    <row r="55">
      <c r="A55" t="inlineStr">
        <is>
          <t>23.03.2026</t>
        </is>
      </c>
      <c r="B55" s="170" t="inlineStr">
        <is>
          <t>Cardano</t>
        </is>
      </c>
      <c r="C55" s="62" t="inlineStr">
        <is>
          <t>ADA-USD</t>
        </is>
      </c>
      <c r="D55" s="164" t="n">
        <v>0.250612</v>
      </c>
      <c r="E55" s="164" t="n">
        <v>0.252382</v>
      </c>
      <c r="F55" s="164" t="n">
        <v>0.250359</v>
      </c>
      <c r="G55" s="164" t="n">
        <v>0.252382</v>
      </c>
      <c r="H55" s="172" t="n">
        <v>-0.0209</v>
      </c>
      <c r="I55" s="172" t="n">
        <v>-0.079541</v>
      </c>
      <c r="J55" s="172" t="n">
        <v>-0.039965</v>
      </c>
      <c r="K55" s="177" t="n">
        <v>409243808</v>
      </c>
      <c r="L55" s="177" t="n">
        <v>545511026</v>
      </c>
      <c r="M55" s="178" t="n">
        <v>0.75</v>
      </c>
      <c r="N55" s="174" t="inlineStr">
        <is>
          <t>SELL</t>
        </is>
      </c>
      <c r="O55" s="174" t="inlineStr">
        <is>
          <t>Bearish</t>
        </is>
      </c>
    </row>
    <row r="56">
      <c r="A56" t="inlineStr">
        <is>
          <t>23.03.2026</t>
        </is>
      </c>
      <c r="B56" s="170" t="inlineStr">
        <is>
          <t>Avalanche</t>
        </is>
      </c>
      <c r="C56" s="62" t="inlineStr">
        <is>
          <t>AVAX-USD</t>
        </is>
      </c>
      <c r="D56" s="164" t="n">
        <v>9.019485</v>
      </c>
      <c r="E56" s="164" t="n">
        <v>9.094593</v>
      </c>
      <c r="F56" s="164" t="n">
        <v>9.00872</v>
      </c>
      <c r="G56" s="164" t="n">
        <v>9.094593</v>
      </c>
      <c r="H56" s="172" t="n">
        <v>-0.011899</v>
      </c>
      <c r="I56" s="172" t="n">
        <v>-0.060042</v>
      </c>
      <c r="J56" s="172" t="n">
        <v>-0.009176</v>
      </c>
      <c r="K56" s="177" t="n">
        <v>211624400</v>
      </c>
      <c r="L56" s="177" t="n">
        <v>301614690</v>
      </c>
      <c r="M56" s="178" t="n">
        <v>0.7</v>
      </c>
      <c r="N56" s="174" t="inlineStr">
        <is>
          <t>SELL</t>
        </is>
      </c>
      <c r="O56" s="174" t="inlineStr">
        <is>
          <t>Bearish</t>
        </is>
      </c>
    </row>
    <row r="57">
      <c r="A57" t="inlineStr">
        <is>
          <t>23.03.2026</t>
        </is>
      </c>
      <c r="B57" s="170" t="inlineStr">
        <is>
          <t>Dogecoin</t>
        </is>
      </c>
      <c r="C57" s="62" t="inlineStr">
        <is>
          <t>DOGE-USD</t>
        </is>
      </c>
      <c r="D57" s="164" t="n">
        <v>0.09010899999999999</v>
      </c>
      <c r="E57" s="164" t="n">
        <v>0.090837</v>
      </c>
      <c r="F57" s="164" t="n">
        <v>0.09006</v>
      </c>
      <c r="G57" s="164" t="n">
        <v>0.090837</v>
      </c>
      <c r="H57" s="172" t="n">
        <v>-0.004154</v>
      </c>
      <c r="I57" s="172" t="n">
        <v>-0.045659</v>
      </c>
      <c r="J57" s="179" t="n">
        <v>0.008931</v>
      </c>
      <c r="K57" s="177" t="n">
        <v>816632960</v>
      </c>
      <c r="L57" s="177" t="n">
        <v>1288478980</v>
      </c>
      <c r="M57" s="178" t="n">
        <v>0.63</v>
      </c>
      <c r="N57" s="174" t="inlineStr">
        <is>
          <t>SELL</t>
        </is>
      </c>
      <c r="O57" s="174" t="inlineStr">
        <is>
          <t>Bearish</t>
        </is>
      </c>
    </row>
    <row r="58">
      <c r="A58" t="inlineStr">
        <is>
          <t>23.03.2026</t>
        </is>
      </c>
      <c r="B58" s="170" t="inlineStr">
        <is>
          <t>Chainlink</t>
        </is>
      </c>
      <c r="C58" s="62" t="inlineStr">
        <is>
          <t>LINK-USD</t>
        </is>
      </c>
      <c r="D58" s="164" t="n">
        <v>8.685919999999999</v>
      </c>
      <c r="E58" s="164" t="n">
        <v>8.730269</v>
      </c>
      <c r="F58" s="164" t="n">
        <v>8.656762000000001</v>
      </c>
      <c r="G58" s="164" t="n">
        <v>8.730269</v>
      </c>
      <c r="H58" s="172" t="n">
        <v>-0.008758999999999999</v>
      </c>
      <c r="I58" s="172" t="n">
        <v>-0.053714</v>
      </c>
      <c r="J58" s="172" t="n">
        <v>-0.009316</v>
      </c>
      <c r="K58" s="177" t="n">
        <v>565907584</v>
      </c>
      <c r="L58" s="177" t="n">
        <v>683554157</v>
      </c>
      <c r="M58" s="178" t="n">
        <v>0.83</v>
      </c>
      <c r="N58" s="174" t="inlineStr">
        <is>
          <t>SELL</t>
        </is>
      </c>
      <c r="O58" s="174" t="inlineStr">
        <is>
          <t>Bearish</t>
        </is>
      </c>
    </row>
    <row r="59">
      <c r="A59" t="inlineStr">
        <is>
          <t>23.03.2026</t>
        </is>
      </c>
      <c r="B59" s="170" t="inlineStr">
        <is>
          <t>Polkadot</t>
        </is>
      </c>
      <c r="C59" s="62" t="inlineStr">
        <is>
          <t>DOT-USD</t>
        </is>
      </c>
      <c r="D59" s="164" t="n">
        <v>1.411578</v>
      </c>
      <c r="E59" s="164" t="n">
        <v>1.425779</v>
      </c>
      <c r="F59" s="164" t="n">
        <v>1.411578</v>
      </c>
      <c r="G59" s="164" t="n">
        <v>1.425779</v>
      </c>
      <c r="H59" s="172" t="n">
        <v>-0.026219</v>
      </c>
      <c r="I59" s="172" t="n">
        <v>-0.09511699999999999</v>
      </c>
      <c r="J59" s="172" t="n">
        <v>-0.068248</v>
      </c>
      <c r="K59" s="177" t="n">
        <v>121411440</v>
      </c>
      <c r="L59" s="177" t="n">
        <v>170112561</v>
      </c>
      <c r="M59" s="178" t="n">
        <v>0.71</v>
      </c>
      <c r="N59" s="174" t="inlineStr">
        <is>
          <t>SELL</t>
        </is>
      </c>
      <c r="O59" s="174" t="inlineStr">
        <is>
          <t>Bearish</t>
        </is>
      </c>
    </row>
    <row r="60">
      <c r="A60" t="inlineStr">
        <is>
          <t>23.03.2026</t>
        </is>
      </c>
      <c r="B60" s="170" t="inlineStr">
        <is>
          <t>Litecoin</t>
        </is>
      </c>
      <c r="C60" s="62" t="inlineStr">
        <is>
          <t>LTC-USD</t>
        </is>
      </c>
      <c r="D60" s="164" t="n">
        <v>53.491161</v>
      </c>
      <c r="E60" s="164" t="n">
        <v>53.798595</v>
      </c>
      <c r="F60" s="164" t="n">
        <v>53.461849</v>
      </c>
      <c r="G60" s="164" t="n">
        <v>53.798595</v>
      </c>
      <c r="H60" s="172" t="n">
        <v>-0.015891</v>
      </c>
      <c r="I60" s="172" t="n">
        <v>-0.04022700000000001</v>
      </c>
      <c r="J60" s="172" t="n">
        <v>-0.017846</v>
      </c>
      <c r="K60" s="177" t="n">
        <v>271270048</v>
      </c>
      <c r="L60" s="177" t="n">
        <v>313904495</v>
      </c>
      <c r="M60" s="178" t="n">
        <v>0.86</v>
      </c>
      <c r="N60" s="173" t="inlineStr">
        <is>
          <t>WAIT</t>
        </is>
      </c>
      <c r="O60" s="174" t="inlineStr">
        <is>
          <t>Bearish</t>
        </is>
      </c>
    </row>
    <row r="61">
      <c r="A61" t="inlineStr">
        <is>
          <t>23.03.2026</t>
        </is>
      </c>
      <c r="B61" s="170" t="inlineStr">
        <is>
          <t>Shiba Inu</t>
        </is>
      </c>
      <c r="C61" s="62" t="inlineStr">
        <is>
          <t>SHIB-USD</t>
        </is>
      </c>
      <c r="D61" s="164" t="n">
        <v>6e-06</v>
      </c>
      <c r="E61" s="164" t="n">
        <v>6e-06</v>
      </c>
      <c r="F61" s="164" t="n">
        <v>6e-06</v>
      </c>
      <c r="G61" s="164" t="n">
        <v>6e-06</v>
      </c>
      <c r="H61" s="172" t="n">
        <v>-0.031618</v>
      </c>
      <c r="I61" s="172" t="n">
        <v>-0.031618</v>
      </c>
      <c r="J61" s="179" t="n">
        <v>0.162059</v>
      </c>
      <c r="K61" s="177" t="n">
        <v>95698504</v>
      </c>
      <c r="L61" s="177" t="n">
        <v>132693791</v>
      </c>
      <c r="M61" s="178" t="n">
        <v>0.72</v>
      </c>
      <c r="N61" s="174" t="inlineStr">
        <is>
          <t>SELL</t>
        </is>
      </c>
      <c r="O61" s="174" t="inlineStr">
        <is>
          <t>Bearish</t>
        </is>
      </c>
    </row>
    <row r="62">
      <c r="A62" t="inlineStr">
        <is>
          <t>23.03.2026</t>
        </is>
      </c>
      <c r="B62" s="170" t="inlineStr">
        <is>
          <t>Polygon</t>
        </is>
      </c>
      <c r="C62" s="62" t="inlineStr">
        <is>
          <t>MATIC-USD</t>
        </is>
      </c>
      <c r="G62" s="176" t="inlineStr">
        <is>
          <t>N/A</t>
        </is>
      </c>
    </row>
    <row r="63">
      <c r="A63" t="inlineStr">
        <is>
          <t>23.03.2026</t>
        </is>
      </c>
      <c r="B63" s="170" t="inlineStr">
        <is>
          <t>Uniswap</t>
        </is>
      </c>
      <c r="C63" s="62" t="inlineStr">
        <is>
          <t>UNI-USD</t>
        </is>
      </c>
      <c r="D63" s="164" t="n">
        <v>0.000163</v>
      </c>
      <c r="E63" s="164" t="n">
        <v>0.000163</v>
      </c>
      <c r="F63" s="164" t="n">
        <v>0.000163</v>
      </c>
      <c r="G63" s="164" t="n">
        <v>0.000163</v>
      </c>
      <c r="H63" s="180" t="n">
        <v>0</v>
      </c>
      <c r="I63" s="180" t="n">
        <v>0</v>
      </c>
      <c r="J63" s="172" t="n">
        <v>-0.018072</v>
      </c>
      <c r="K63" s="177" t="n">
        <v>0</v>
      </c>
      <c r="L63" s="177" t="n">
        <v>1</v>
      </c>
      <c r="M63" s="178" t="n">
        <v>0</v>
      </c>
      <c r="N63" s="173" t="inlineStr">
        <is>
          <t>WAIT</t>
        </is>
      </c>
      <c r="O63" s="173" t="inlineStr">
        <is>
          <t>Sideways</t>
        </is>
      </c>
    </row>
    <row r="64">
      <c r="A64" t="inlineStr">
        <is>
          <t>23.03.2026</t>
        </is>
      </c>
      <c r="B64" s="170" t="inlineStr">
        <is>
          <t>Cosmos</t>
        </is>
      </c>
      <c r="C64" s="62" t="inlineStr">
        <is>
          <t>ATOM-USD</t>
        </is>
      </c>
      <c r="D64" s="164" t="n">
        <v>1.768399</v>
      </c>
      <c r="E64" s="164" t="n">
        <v>1.778464</v>
      </c>
      <c r="F64" s="164" t="n">
        <v>1.767853</v>
      </c>
      <c r="G64" s="164" t="n">
        <v>1.778464</v>
      </c>
      <c r="H64" s="172" t="n">
        <v>-0.008966</v>
      </c>
      <c r="I64" s="172" t="n">
        <v>-0.067139</v>
      </c>
      <c r="J64" s="172" t="n">
        <v>-0.019647</v>
      </c>
      <c r="K64" s="177" t="n">
        <v>38230812</v>
      </c>
      <c r="L64" s="177" t="n">
        <v>47595233</v>
      </c>
      <c r="M64" s="178" t="n">
        <v>0.8</v>
      </c>
      <c r="N64" s="173" t="inlineStr">
        <is>
          <t>WAIT</t>
        </is>
      </c>
      <c r="O64" s="174" t="inlineStr">
        <is>
          <t>Bearish</t>
        </is>
      </c>
    </row>
    <row r="65">
      <c r="A65" t="inlineStr">
        <is>
          <t>23.03.2026</t>
        </is>
      </c>
      <c r="B65" s="170" t="inlineStr">
        <is>
          <t>Stellar</t>
        </is>
      </c>
      <c r="C65" s="62" t="inlineStr">
        <is>
          <t>XLM-USD</t>
        </is>
      </c>
      <c r="D65" s="164" t="n">
        <v>0.155899</v>
      </c>
      <c r="E65" s="164" t="n">
        <v>0.157239</v>
      </c>
      <c r="F65" s="164" t="n">
        <v>0.155899</v>
      </c>
      <c r="G65" s="164" t="n">
        <v>0.157239</v>
      </c>
      <c r="H65" s="172" t="n">
        <v>-0.02982</v>
      </c>
      <c r="I65" s="172" t="n">
        <v>-0.07514599999999999</v>
      </c>
      <c r="J65" s="179" t="n">
        <v>0.037758</v>
      </c>
      <c r="K65" s="177" t="n">
        <v>91562304</v>
      </c>
      <c r="L65" s="177" t="n">
        <v>112549227</v>
      </c>
      <c r="M65" s="178" t="n">
        <v>0.8100000000000001</v>
      </c>
      <c r="N65" s="173" t="inlineStr">
        <is>
          <t>WAIT</t>
        </is>
      </c>
      <c r="O65" s="174" t="inlineStr">
        <is>
          <t>Bearish</t>
        </is>
      </c>
    </row>
    <row r="66">
      <c r="A66" t="inlineStr">
        <is>
          <t>23.03.2026</t>
        </is>
      </c>
      <c r="B66" s="170" t="inlineStr">
        <is>
          <t>Monero</t>
        </is>
      </c>
      <c r="C66" s="62" t="inlineStr">
        <is>
          <t>XMR-USD</t>
        </is>
      </c>
      <c r="D66" s="164" t="n">
        <v>362.074005</v>
      </c>
      <c r="E66" s="164" t="n">
        <v>362.074005</v>
      </c>
      <c r="F66" s="164" t="n">
        <v>358.270386</v>
      </c>
      <c r="G66" s="164" t="n">
        <v>358.570068</v>
      </c>
      <c r="H66" s="179" t="n">
        <v>0.050612</v>
      </c>
      <c r="I66" s="179" t="n">
        <v>0.034293</v>
      </c>
      <c r="J66" s="179" t="n">
        <v>0.051836</v>
      </c>
      <c r="K66" s="177" t="n">
        <v>81631312</v>
      </c>
      <c r="L66" s="177" t="n">
        <v>84923191</v>
      </c>
      <c r="M66" s="178" t="n">
        <v>0.96</v>
      </c>
      <c r="N66" s="173" t="inlineStr">
        <is>
          <t>WAIT</t>
        </is>
      </c>
      <c r="O66" s="175" t="inlineStr">
        <is>
          <t>Bullish</t>
        </is>
      </c>
    </row>
    <row r="67">
      <c r="A67" t="inlineStr">
        <is>
          <t>23.03.2026</t>
        </is>
      </c>
      <c r="B67" s="170" t="inlineStr">
        <is>
          <t>Tron</t>
        </is>
      </c>
      <c r="C67" s="62" t="inlineStr">
        <is>
          <t>TRX-USD</t>
        </is>
      </c>
      <c r="D67" s="164" t="n">
        <v>0.310474</v>
      </c>
      <c r="E67" s="164" t="n">
        <v>0.31168</v>
      </c>
      <c r="F67" s="164" t="n">
        <v>0.309928</v>
      </c>
      <c r="G67" s="164" t="n">
        <v>0.31168</v>
      </c>
      <c r="H67" s="172" t="n">
        <v>-0.000252</v>
      </c>
      <c r="I67" s="179" t="n">
        <v>0.023935</v>
      </c>
      <c r="J67" s="179" t="n">
        <v>0.111082</v>
      </c>
      <c r="K67" s="177" t="n">
        <v>788321600</v>
      </c>
      <c r="L67" s="177" t="n">
        <v>532533648</v>
      </c>
      <c r="M67" s="178" t="n">
        <v>1.48</v>
      </c>
      <c r="N67" s="173" t="inlineStr">
        <is>
          <t>WAIT</t>
        </is>
      </c>
      <c r="O67" s="175" t="inlineStr">
        <is>
          <t>Bullish</t>
        </is>
      </c>
    </row>
    <row r="68">
      <c r="A68" t="inlineStr">
        <is>
          <t>23.03.2026</t>
        </is>
      </c>
      <c r="B68" s="170" t="inlineStr">
        <is>
          <t>Filecoin</t>
        </is>
      </c>
      <c r="C68" s="62" t="inlineStr">
        <is>
          <t>FIL-USD</t>
        </is>
      </c>
      <c r="D68" s="164" t="n">
        <v>0.847082</v>
      </c>
      <c r="E68" s="164" t="n">
        <v>0.854691</v>
      </c>
      <c r="F68" s="164" t="n">
        <v>0.845511</v>
      </c>
      <c r="G68" s="164" t="n">
        <v>0.854691</v>
      </c>
      <c r="H68" s="172" t="n">
        <v>-0.028989</v>
      </c>
      <c r="I68" s="172" t="n">
        <v>-0.07491299999999999</v>
      </c>
      <c r="J68" s="172" t="n">
        <v>-0.146005</v>
      </c>
      <c r="K68" s="177" t="n">
        <v>96431528</v>
      </c>
      <c r="L68" s="177" t="n">
        <v>107099441</v>
      </c>
      <c r="M68" s="178" t="n">
        <v>0.9</v>
      </c>
      <c r="N68" s="174" t="inlineStr">
        <is>
          <t>SELL</t>
        </is>
      </c>
      <c r="O68" s="174" t="inlineStr">
        <is>
          <t>Bearish</t>
        </is>
      </c>
    </row>
    <row r="69">
      <c r="A69" t="inlineStr">
        <is>
          <t>23.03.2026</t>
        </is>
      </c>
      <c r="B69" s="170" t="inlineStr">
        <is>
          <t>Aave</t>
        </is>
      </c>
      <c r="C69" s="62" t="inlineStr">
        <is>
          <t>AAVE-USD</t>
        </is>
      </c>
      <c r="D69" s="164" t="n">
        <v>106.350616</v>
      </c>
      <c r="E69" s="164" t="n">
        <v>106.973442</v>
      </c>
      <c r="F69" s="164" t="n">
        <v>106.111549</v>
      </c>
      <c r="G69" s="164" t="n">
        <v>106.973442</v>
      </c>
      <c r="H69" s="172" t="n">
        <v>-0.014377</v>
      </c>
      <c r="I69" s="172" t="n">
        <v>-0.07227699999999999</v>
      </c>
      <c r="J69" s="172" t="n">
        <v>-0.038108</v>
      </c>
      <c r="K69" s="177" t="n">
        <v>299457280</v>
      </c>
      <c r="L69" s="177" t="n">
        <v>368802708</v>
      </c>
      <c r="M69" s="178" t="n">
        <v>0.8100000000000001</v>
      </c>
      <c r="N69" s="174" t="inlineStr">
        <is>
          <t>SELL</t>
        </is>
      </c>
      <c r="O69" s="174" t="inlineStr">
        <is>
          <t>Bearish</t>
        </is>
      </c>
    </row>
    <row r="70">
      <c r="A70" t="inlineStr">
        <is>
          <t>23.03.2026</t>
        </is>
      </c>
      <c r="B70" s="170" t="inlineStr">
        <is>
          <t>Arbitrum</t>
        </is>
      </c>
      <c r="C70" s="62" t="inlineStr">
        <is>
          <t>ARB-USD</t>
        </is>
      </c>
      <c r="D70" s="164" t="n">
        <v>0.000899</v>
      </c>
      <c r="E70" s="164" t="n">
        <v>0.000899</v>
      </c>
      <c r="F70" s="164" t="n">
        <v>0.000899</v>
      </c>
      <c r="G70" s="164" t="n">
        <v>0.000899</v>
      </c>
      <c r="H70" s="179" t="n">
        <v>0.000251</v>
      </c>
      <c r="I70" s="179" t="n">
        <v>0.000251</v>
      </c>
      <c r="J70" s="179" t="n">
        <v>0.000251</v>
      </c>
      <c r="K70" s="177" t="n">
        <v>8</v>
      </c>
      <c r="L70" s="177" t="n">
        <v>0</v>
      </c>
      <c r="M70" s="178" t="n">
        <v>1</v>
      </c>
      <c r="N70" s="174" t="inlineStr">
        <is>
          <t>SELL</t>
        </is>
      </c>
      <c r="O70" s="173" t="inlineStr">
        <is>
          <t>Sideways</t>
        </is>
      </c>
    </row>
    <row r="71">
      <c r="A71" t="inlineStr">
        <is>
          <t>23.03.2026</t>
        </is>
      </c>
      <c r="B71" s="170" t="inlineStr">
        <is>
          <t>Optimism</t>
        </is>
      </c>
      <c r="C71" s="62" t="inlineStr">
        <is>
          <t>OP-USD</t>
        </is>
      </c>
      <c r="D71" s="164" t="n">
        <v>0.114531</v>
      </c>
      <c r="E71" s="164" t="n">
        <v>0.115524</v>
      </c>
      <c r="F71" s="164" t="n">
        <v>0.114531</v>
      </c>
      <c r="G71" s="164" t="n">
        <v>0.115524</v>
      </c>
      <c r="H71" s="172" t="n">
        <v>-0.017008</v>
      </c>
      <c r="I71" s="172" t="n">
        <v>-0.08492100000000001</v>
      </c>
      <c r="J71" s="172" t="n">
        <v>-0.08704000000000001</v>
      </c>
      <c r="K71" s="177" t="n">
        <v>55561316</v>
      </c>
      <c r="L71" s="177" t="n">
        <v>68299782</v>
      </c>
      <c r="M71" s="178" t="n">
        <v>0.8100000000000001</v>
      </c>
      <c r="N71" s="173" t="inlineStr">
        <is>
          <t>WAIT</t>
        </is>
      </c>
      <c r="O71" s="174" t="inlineStr">
        <is>
          <t>Bearish</t>
        </is>
      </c>
    </row>
    <row r="72">
      <c r="A72" t="inlineStr">
        <is>
          <t>23.03.2026</t>
        </is>
      </c>
      <c r="B72" s="170" t="inlineStr">
        <is>
          <t>Render</t>
        </is>
      </c>
      <c r="C72" s="62" t="inlineStr">
        <is>
          <t>RNDR-USD</t>
        </is>
      </c>
      <c r="G72" s="176" t="inlineStr">
        <is>
          <t>N/A</t>
        </is>
      </c>
    </row>
    <row r="73">
      <c r="A73" t="inlineStr">
        <is>
          <t>23.03.2026</t>
        </is>
      </c>
      <c r="B73" s="170" t="inlineStr">
        <is>
          <t>Sui</t>
        </is>
      </c>
      <c r="C73" s="62" t="inlineStr">
        <is>
          <t>SUI-USD</t>
        </is>
      </c>
      <c r="G73" s="176" t="inlineStr">
        <is>
          <t>N/A</t>
        </is>
      </c>
    </row>
    <row r="74">
      <c r="A74" t="inlineStr">
        <is>
          <t>23.03.2026</t>
        </is>
      </c>
      <c r="B74" s="170" t="inlineStr">
        <is>
          <t>Near Protocol</t>
        </is>
      </c>
      <c r="C74" s="62" t="inlineStr">
        <is>
          <t>NEAR-USD</t>
        </is>
      </c>
      <c r="D74" s="164" t="n">
        <v>1.273796</v>
      </c>
      <c r="E74" s="164" t="n">
        <v>1.281799</v>
      </c>
      <c r="F74" s="164" t="n">
        <v>1.267112</v>
      </c>
      <c r="G74" s="164" t="n">
        <v>1.281799</v>
      </c>
      <c r="H74" s="179" t="n">
        <v>0.002778</v>
      </c>
      <c r="I74" s="172" t="n">
        <v>-0.07427399999999999</v>
      </c>
      <c r="J74" s="172" t="n">
        <v>-0.055211</v>
      </c>
      <c r="K74" s="177" t="n">
        <v>113147472</v>
      </c>
      <c r="L74" s="177" t="n">
        <v>223540263</v>
      </c>
      <c r="M74" s="178" t="n">
        <v>0.51</v>
      </c>
      <c r="N74" s="174" t="inlineStr">
        <is>
          <t>SELL</t>
        </is>
      </c>
      <c r="O74" s="175" t="inlineStr">
        <is>
          <t>Bullish</t>
        </is>
      </c>
    </row>
    <row r="75" ht="26" customHeight="1" s="113">
      <c r="A75" s="99" t="inlineStr">
        <is>
          <t>--- VALUTE FOREX ---</t>
        </is>
      </c>
      <c r="B75" s="166" t="n"/>
      <c r="C75" s="166" t="n"/>
      <c r="D75" s="166" t="n"/>
      <c r="E75" s="166" t="n"/>
      <c r="F75" s="166" t="n"/>
      <c r="G75" s="166" t="n"/>
      <c r="H75" s="166" t="n"/>
      <c r="I75" s="166" t="n"/>
      <c r="J75" s="166" t="n"/>
      <c r="K75" s="166" t="n"/>
      <c r="L75" s="166" t="n"/>
      <c r="M75" s="166" t="n"/>
      <c r="N75" s="166" t="n"/>
      <c r="O75" s="166" t="n"/>
    </row>
    <row r="76">
      <c r="A76" t="inlineStr">
        <is>
          <t>23.03.2026</t>
        </is>
      </c>
      <c r="B76" s="170" t="inlineStr">
        <is>
          <t>EUR/USD</t>
        </is>
      </c>
      <c r="C76" s="62" t="inlineStr">
        <is>
          <t>EURUSD=X</t>
        </is>
      </c>
      <c r="D76" s="164" t="n">
        <v>1.155802</v>
      </c>
      <c r="E76" s="164" t="n">
        <v>1.157809</v>
      </c>
      <c r="F76" s="164" t="n">
        <v>1.153669</v>
      </c>
      <c r="G76" s="164" t="n">
        <v>1.156069</v>
      </c>
      <c r="H76" s="172" t="n">
        <v>-0.001457</v>
      </c>
      <c r="I76" s="179" t="n">
        <v>0.005318000000000001</v>
      </c>
      <c r="J76" s="172" t="n">
        <v>-0.019769</v>
      </c>
      <c r="K76" s="177" t="n">
        <v>0</v>
      </c>
      <c r="L76" s="177" t="n">
        <v>0</v>
      </c>
      <c r="M76" s="178" t="n">
        <v>1</v>
      </c>
      <c r="N76" s="173" t="inlineStr">
        <is>
          <t>WAIT</t>
        </is>
      </c>
      <c r="O76" s="174" t="inlineStr">
        <is>
          <t>Bearish</t>
        </is>
      </c>
    </row>
    <row r="77">
      <c r="A77" t="inlineStr">
        <is>
          <t>23.03.2026</t>
        </is>
      </c>
      <c r="B77" s="170" t="inlineStr">
        <is>
          <t>GBP/USD</t>
        </is>
      </c>
      <c r="C77" s="62" t="inlineStr">
        <is>
          <t>GBPUSD=X</t>
        </is>
      </c>
      <c r="D77" s="164" t="n">
        <v>1.334144</v>
      </c>
      <c r="E77" s="164" t="n">
        <v>1.334144</v>
      </c>
      <c r="F77" s="164" t="n">
        <v>1.330394</v>
      </c>
      <c r="G77" s="164" t="n">
        <v>1.333508</v>
      </c>
      <c r="H77" s="172" t="n">
        <v>-0.006750000000000001</v>
      </c>
      <c r="I77" s="179" t="n">
        <v>0.001558</v>
      </c>
      <c r="J77" s="172" t="n">
        <v>-0.011991</v>
      </c>
      <c r="K77" s="177" t="n">
        <v>0</v>
      </c>
      <c r="L77" s="177" t="n">
        <v>0</v>
      </c>
      <c r="M77" s="178" t="n">
        <v>1</v>
      </c>
      <c r="N77" s="175" t="inlineStr">
        <is>
          <t>BUY</t>
        </is>
      </c>
      <c r="O77" s="174" t="inlineStr">
        <is>
          <t>Bearish</t>
        </is>
      </c>
    </row>
    <row r="78">
      <c r="A78" t="inlineStr">
        <is>
          <t>23.03.2026</t>
        </is>
      </c>
      <c r="B78" s="170" t="inlineStr">
        <is>
          <t>USD/JPY</t>
        </is>
      </c>
      <c r="C78" s="62" t="inlineStr">
        <is>
          <t>USDJPY=X</t>
        </is>
      </c>
      <c r="D78" s="164" t="n">
        <v>159.220001</v>
      </c>
      <c r="E78" s="164" t="n">
        <v>159.522995</v>
      </c>
      <c r="F78" s="164" t="n">
        <v>159.003006</v>
      </c>
      <c r="G78" s="164" t="n">
        <v>159.395004</v>
      </c>
      <c r="H78" s="179" t="n">
        <v>0.009315</v>
      </c>
      <c r="I78" s="179" t="n">
        <v>0.001823</v>
      </c>
      <c r="J78" s="179" t="n">
        <v>0.030782</v>
      </c>
      <c r="K78" s="177" t="n">
        <v>0</v>
      </c>
      <c r="L78" s="177" t="n">
        <v>0</v>
      </c>
      <c r="M78" s="178" t="n">
        <v>1</v>
      </c>
      <c r="N78" s="175" t="inlineStr">
        <is>
          <t>BUY</t>
        </is>
      </c>
      <c r="O78" s="175" t="inlineStr">
        <is>
          <t>Bullish</t>
        </is>
      </c>
    </row>
    <row r="79">
      <c r="A79" t="inlineStr">
        <is>
          <t>23.03.2026</t>
        </is>
      </c>
      <c r="B79" s="170" t="inlineStr">
        <is>
          <t>USD/CHF</t>
        </is>
      </c>
      <c r="C79" s="62" t="inlineStr">
        <is>
          <t>USDCHF=X</t>
        </is>
      </c>
      <c r="D79" s="164" t="n">
        <v>0.7877999999999999</v>
      </c>
      <c r="E79" s="164" t="n">
        <v>0.78934</v>
      </c>
      <c r="F79" s="164" t="n">
        <v>0.78642</v>
      </c>
      <c r="G79" s="164" t="n">
        <v>0.78815</v>
      </c>
      <c r="H79" s="172" t="n">
        <v>-0.000697</v>
      </c>
      <c r="I79" s="179" t="n">
        <v>0.000127</v>
      </c>
      <c r="J79" s="179" t="n">
        <v>0.017979</v>
      </c>
      <c r="K79" s="177" t="n">
        <v>0</v>
      </c>
      <c r="L79" s="177" t="n">
        <v>0</v>
      </c>
      <c r="M79" s="178" t="n">
        <v>1</v>
      </c>
      <c r="N79" s="173" t="inlineStr">
        <is>
          <t>WAIT</t>
        </is>
      </c>
      <c r="O79" s="175" t="inlineStr">
        <is>
          <t>Bullish</t>
        </is>
      </c>
    </row>
    <row r="80">
      <c r="A80" t="inlineStr">
        <is>
          <t>23.03.2026</t>
        </is>
      </c>
      <c r="B80" s="170" t="inlineStr">
        <is>
          <t>AUD/USD</t>
        </is>
      </c>
      <c r="C80" s="62" t="inlineStr">
        <is>
          <t>AUDUSD=X</t>
        </is>
      </c>
      <c r="D80" s="164" t="n">
        <v>0.702375</v>
      </c>
      <c r="E80" s="164" t="n">
        <v>0.702375</v>
      </c>
      <c r="F80" s="164" t="n">
        <v>0.698871</v>
      </c>
      <c r="G80" s="164" t="n">
        <v>0.700006</v>
      </c>
      <c r="H80" s="172" t="n">
        <v>-0.011445</v>
      </c>
      <c r="I80" s="172" t="n">
        <v>-0.009681</v>
      </c>
      <c r="J80" s="172" t="n">
        <v>-0.008588999999999999</v>
      </c>
      <c r="K80" s="177" t="n">
        <v>0</v>
      </c>
      <c r="L80" s="177" t="n">
        <v>0</v>
      </c>
      <c r="M80" s="178" t="n">
        <v>1</v>
      </c>
      <c r="N80" s="173" t="inlineStr">
        <is>
          <t>WAIT</t>
        </is>
      </c>
      <c r="O80" s="173" t="inlineStr">
        <is>
          <t>Sideways</t>
        </is>
      </c>
    </row>
    <row r="81">
      <c r="A81" t="inlineStr">
        <is>
          <t>23.03.2026</t>
        </is>
      </c>
      <c r="B81" s="170" t="inlineStr">
        <is>
          <t>USD/CAD</t>
        </is>
      </c>
      <c r="C81" s="62" t="inlineStr">
        <is>
          <t>USDCAD=X</t>
        </is>
      </c>
      <c r="D81" s="164" t="n">
        <v>1.3723</v>
      </c>
      <c r="E81" s="164" t="n">
        <v>1.37322</v>
      </c>
      <c r="F81" s="164" t="n">
        <v>1.37</v>
      </c>
      <c r="G81" s="164" t="n">
        <v>1.37077</v>
      </c>
      <c r="H81" s="172" t="n">
        <v>-0.002046</v>
      </c>
      <c r="I81" s="179" t="n">
        <v>0.001732</v>
      </c>
      <c r="J81" s="179" t="n">
        <v>0.001015</v>
      </c>
      <c r="K81" s="177" t="n">
        <v>0</v>
      </c>
      <c r="L81" s="177" t="n">
        <v>0</v>
      </c>
      <c r="M81" s="178" t="n">
        <v>1</v>
      </c>
      <c r="N81" s="173" t="inlineStr">
        <is>
          <t>WAIT</t>
        </is>
      </c>
      <c r="O81" s="173" t="inlineStr">
        <is>
          <t>Sideways</t>
        </is>
      </c>
    </row>
    <row r="82">
      <c r="A82" t="inlineStr">
        <is>
          <t>23.03.2026</t>
        </is>
      </c>
      <c r="B82" s="170" t="inlineStr">
        <is>
          <t>EUR/RON</t>
        </is>
      </c>
      <c r="C82" s="62" t="inlineStr">
        <is>
          <t>EURRON=X</t>
        </is>
      </c>
      <c r="D82" s="164" t="n">
        <v>5.106212</v>
      </c>
      <c r="E82" s="164" t="n">
        <v>5.106212</v>
      </c>
      <c r="F82" s="164" t="n">
        <v>5.087969</v>
      </c>
      <c r="G82" s="164" t="n">
        <v>5.088196</v>
      </c>
      <c r="H82" s="179" t="n">
        <v>6.4e-05</v>
      </c>
      <c r="I82" s="180" t="n">
        <v>0</v>
      </c>
      <c r="J82" s="172" t="n">
        <v>-0.000334</v>
      </c>
      <c r="K82" s="177" t="n">
        <v>0</v>
      </c>
      <c r="L82" s="177" t="n">
        <v>0</v>
      </c>
      <c r="M82" s="178" t="n">
        <v>1</v>
      </c>
      <c r="N82" s="173" t="inlineStr">
        <is>
          <t>WAIT</t>
        </is>
      </c>
      <c r="O82" s="173" t="inlineStr">
        <is>
          <t>Sideways</t>
        </is>
      </c>
    </row>
    <row r="83">
      <c r="A83" t="inlineStr">
        <is>
          <t>23.03.2026</t>
        </is>
      </c>
      <c r="B83" s="170" t="inlineStr">
        <is>
          <t>USD/RON</t>
        </is>
      </c>
      <c r="C83" s="62" t="inlineStr">
        <is>
          <t>USDRON=X</t>
        </is>
      </c>
      <c r="D83" s="164" t="n">
        <v>4.4106</v>
      </c>
      <c r="E83" s="164" t="n">
        <v>4.4166</v>
      </c>
      <c r="F83" s="164" t="n">
        <v>4.3993</v>
      </c>
      <c r="G83" s="164" t="n">
        <v>4.4017</v>
      </c>
      <c r="H83" s="179" t="n">
        <v>0.00157</v>
      </c>
      <c r="I83" s="172" t="n">
        <v>-0.005243</v>
      </c>
      <c r="J83" s="179" t="n">
        <v>0.019904</v>
      </c>
      <c r="K83" s="177" t="n">
        <v>0</v>
      </c>
      <c r="L83" s="177" t="n">
        <v>0</v>
      </c>
      <c r="M83" s="178" t="n">
        <v>1</v>
      </c>
      <c r="N83" s="173" t="inlineStr">
        <is>
          <t>WAIT</t>
        </is>
      </c>
      <c r="O83" s="175" t="inlineStr">
        <is>
          <t>Bullish</t>
        </is>
      </c>
    </row>
    <row r="84">
      <c r="A84" t="inlineStr">
        <is>
          <t>23.03.2026</t>
        </is>
      </c>
      <c r="B84" s="170" t="inlineStr">
        <is>
          <t>GBP/RON</t>
        </is>
      </c>
      <c r="C84" s="62" t="inlineStr">
        <is>
          <t>GBPRON=X</t>
        </is>
      </c>
      <c r="D84" s="164" t="n">
        <v>5.877753</v>
      </c>
      <c r="E84" s="164" t="n">
        <v>5.880415</v>
      </c>
      <c r="F84" s="164" t="n">
        <v>5.862603</v>
      </c>
      <c r="G84" s="164" t="n">
        <v>5.871675</v>
      </c>
      <c r="H84" s="172" t="n">
        <v>-0.004816</v>
      </c>
      <c r="I84" s="172" t="n">
        <v>-0.003319</v>
      </c>
      <c r="J84" s="179" t="n">
        <v>0.008061</v>
      </c>
      <c r="K84" s="177" t="n">
        <v>0</v>
      </c>
      <c r="L84" s="177" t="n">
        <v>0</v>
      </c>
      <c r="M84" s="178" t="n">
        <v>1</v>
      </c>
      <c r="N84" s="175" t="inlineStr">
        <is>
          <t>BUY</t>
        </is>
      </c>
      <c r="O84" s="173" t="inlineStr">
        <is>
          <t>Sideways</t>
        </is>
      </c>
    </row>
    <row r="85">
      <c r="A85" t="inlineStr">
        <is>
          <t>23.03.2026</t>
        </is>
      </c>
      <c r="B85" s="170" t="inlineStr">
        <is>
          <t>EUR/GBP</t>
        </is>
      </c>
      <c r="C85" s="62" t="inlineStr">
        <is>
          <t>EURGBP=X</t>
        </is>
      </c>
      <c r="D85" s="164" t="n">
        <v>0.86724</v>
      </c>
      <c r="E85" s="164" t="n">
        <v>0.86793</v>
      </c>
      <c r="F85" s="164" t="n">
        <v>0.8651799999999999</v>
      </c>
      <c r="G85" s="164" t="n">
        <v>0.86661</v>
      </c>
      <c r="H85" s="179" t="n">
        <v>0.00501</v>
      </c>
      <c r="I85" s="179" t="n">
        <v>0.003451</v>
      </c>
      <c r="J85" s="172" t="n">
        <v>-0.008206</v>
      </c>
      <c r="K85" s="177" t="n">
        <v>0</v>
      </c>
      <c r="L85" s="177" t="n">
        <v>0</v>
      </c>
      <c r="M85" s="178" t="n">
        <v>1</v>
      </c>
      <c r="N85" s="173" t="inlineStr">
        <is>
          <t>WAIT</t>
        </is>
      </c>
      <c r="O85" s="173" t="inlineStr">
        <is>
          <t>Sideways</t>
        </is>
      </c>
    </row>
    <row r="86">
      <c r="A86" t="inlineStr">
        <is>
          <t>23.03.2026</t>
        </is>
      </c>
      <c r="B86" s="170" t="inlineStr">
        <is>
          <t>USD/CNY</t>
        </is>
      </c>
      <c r="C86" s="62" t="inlineStr">
        <is>
          <t>USDCNY=X</t>
        </is>
      </c>
      <c r="D86" s="164" t="n">
        <v>6.8852</v>
      </c>
      <c r="E86" s="164" t="n">
        <v>6.8852</v>
      </c>
      <c r="F86" s="164" t="n">
        <v>6.8852</v>
      </c>
      <c r="G86" s="164" t="n">
        <v>6.8852</v>
      </c>
      <c r="H86" s="172" t="n">
        <v>-0.002116</v>
      </c>
      <c r="I86" s="172" t="n">
        <v>-0.010107</v>
      </c>
      <c r="J86" s="172" t="n">
        <v>-0.003301</v>
      </c>
      <c r="K86" s="177" t="n">
        <v>0</v>
      </c>
      <c r="L86" s="177" t="n">
        <v>0</v>
      </c>
      <c r="M86" s="178" t="n">
        <v>1</v>
      </c>
      <c r="N86" s="173" t="inlineStr">
        <is>
          <t>WAIT</t>
        </is>
      </c>
      <c r="O86" s="173" t="inlineStr">
        <is>
          <t>Sideways</t>
        </is>
      </c>
    </row>
    <row r="87">
      <c r="A87" t="inlineStr">
        <is>
          <t>23.03.2026</t>
        </is>
      </c>
      <c r="B87" s="170" t="inlineStr">
        <is>
          <t>USD/TRY</t>
        </is>
      </c>
      <c r="C87" s="62" t="inlineStr">
        <is>
          <t>USDTRY=X</t>
        </is>
      </c>
      <c r="D87" s="164" t="n">
        <v>44.290501</v>
      </c>
      <c r="E87" s="164" t="n">
        <v>44.319901</v>
      </c>
      <c r="F87" s="164" t="n">
        <v>44.246399</v>
      </c>
      <c r="G87" s="164" t="n">
        <v>44.306099</v>
      </c>
      <c r="H87" s="179" t="n">
        <v>5.4e-05</v>
      </c>
      <c r="I87" s="179" t="n">
        <v>0.002775</v>
      </c>
      <c r="J87" s="179" t="n">
        <v>0.01048</v>
      </c>
      <c r="K87" s="177" t="n">
        <v>0</v>
      </c>
      <c r="L87" s="177" t="n">
        <v>0</v>
      </c>
      <c r="M87" s="178" t="n">
        <v>1</v>
      </c>
      <c r="N87" s="173" t="inlineStr">
        <is>
          <t>WAIT</t>
        </is>
      </c>
      <c r="O87" s="175" t="inlineStr">
        <is>
          <t>Bullish</t>
        </is>
      </c>
    </row>
    <row r="88" ht="26" customHeight="1" s="113">
      <c r="A88" s="99" t="inlineStr">
        <is>
          <t>--- MATERII PRIME ---</t>
        </is>
      </c>
      <c r="B88" s="166" t="n"/>
      <c r="C88" s="166" t="n"/>
      <c r="D88" s="166" t="n"/>
      <c r="E88" s="166" t="n"/>
      <c r="F88" s="166" t="n"/>
      <c r="G88" s="166" t="n"/>
      <c r="H88" s="166" t="n"/>
      <c r="I88" s="166" t="n"/>
      <c r="J88" s="166" t="n"/>
      <c r="K88" s="166" t="n"/>
      <c r="L88" s="166" t="n"/>
      <c r="M88" s="166" t="n"/>
      <c r="N88" s="166" t="n"/>
      <c r="O88" s="166" t="n"/>
    </row>
    <row r="89">
      <c r="A89" t="inlineStr">
        <is>
          <t>23.03.2026</t>
        </is>
      </c>
      <c r="B89" s="170" t="inlineStr">
        <is>
          <t>Gold</t>
        </is>
      </c>
      <c r="C89" s="62" t="inlineStr">
        <is>
          <t>GC=F</t>
        </is>
      </c>
      <c r="D89" s="164" t="n">
        <v>4450</v>
      </c>
      <c r="E89" s="164" t="n">
        <v>4537.100098</v>
      </c>
      <c r="F89" s="164" t="n">
        <v>4322</v>
      </c>
      <c r="G89" s="164" t="n">
        <v>4431.799805</v>
      </c>
      <c r="H89" s="172" t="n">
        <v>-0.030326</v>
      </c>
      <c r="I89" s="172" t="n">
        <v>-0.113817</v>
      </c>
      <c r="J89" s="172" t="n">
        <v>-0.140424</v>
      </c>
      <c r="K89" s="177" t="n">
        <v>49328</v>
      </c>
      <c r="L89" s="177" t="n">
        <v>3349</v>
      </c>
      <c r="M89" s="178" t="n">
        <v>14.73</v>
      </c>
      <c r="N89" s="175" t="inlineStr">
        <is>
          <t>BUY</t>
        </is>
      </c>
      <c r="O89" s="174" t="inlineStr">
        <is>
          <t>Bearish</t>
        </is>
      </c>
    </row>
    <row r="90">
      <c r="A90" t="inlineStr">
        <is>
          <t>23.03.2026</t>
        </is>
      </c>
      <c r="B90" s="170" t="inlineStr">
        <is>
          <t>Silver</t>
        </is>
      </c>
      <c r="C90" s="62" t="inlineStr">
        <is>
          <t>SI=F</t>
        </is>
      </c>
      <c r="D90" s="164" t="n">
        <v>66.849998</v>
      </c>
      <c r="E90" s="164" t="n">
        <v>69.720001</v>
      </c>
      <c r="F90" s="164" t="n">
        <v>64.83000199999999</v>
      </c>
      <c r="G90" s="164" t="n">
        <v>67.724998</v>
      </c>
      <c r="H90" s="172" t="n">
        <v>-0.023573</v>
      </c>
      <c r="I90" s="172" t="n">
        <v>-0.148435</v>
      </c>
      <c r="J90" s="172" t="n">
        <v>-0.225619</v>
      </c>
      <c r="K90" s="177" t="n">
        <v>11048</v>
      </c>
      <c r="L90" s="177" t="n">
        <v>3185</v>
      </c>
      <c r="M90" s="178" t="n">
        <v>3.47</v>
      </c>
      <c r="N90" s="175" t="inlineStr">
        <is>
          <t>BUY</t>
        </is>
      </c>
      <c r="O90" s="174" t="inlineStr">
        <is>
          <t>Bearish</t>
        </is>
      </c>
    </row>
    <row r="91">
      <c r="A91" t="inlineStr">
        <is>
          <t>23.03.2026</t>
        </is>
      </c>
      <c r="B91" s="170" t="inlineStr">
        <is>
          <t>Platinum</t>
        </is>
      </c>
      <c r="C91" s="62" t="inlineStr">
        <is>
          <t>PL=F</t>
        </is>
      </c>
      <c r="D91" s="164" t="n">
        <v>1910</v>
      </c>
      <c r="E91" s="164" t="n">
        <v>1939.800049</v>
      </c>
      <c r="F91" s="164" t="n">
        <v>1820.5</v>
      </c>
      <c r="G91" s="164" t="n">
        <v>1892.400024</v>
      </c>
      <c r="H91" s="172" t="n">
        <v>-0.039683</v>
      </c>
      <c r="I91" s="172" t="n">
        <v>-0.112299</v>
      </c>
      <c r="J91" s="172" t="n">
        <v>-0.132364</v>
      </c>
      <c r="K91" s="177" t="n">
        <v>3133</v>
      </c>
      <c r="L91" s="177" t="n">
        <v>195</v>
      </c>
      <c r="M91" s="178" t="n">
        <v>16.07</v>
      </c>
      <c r="N91" s="175" t="inlineStr">
        <is>
          <t>BUY</t>
        </is>
      </c>
      <c r="O91" s="174" t="inlineStr">
        <is>
          <t>Bearish</t>
        </is>
      </c>
    </row>
    <row r="92">
      <c r="A92" t="inlineStr">
        <is>
          <t>23.03.2026</t>
        </is>
      </c>
      <c r="B92" s="170" t="inlineStr">
        <is>
          <t>Palladium</t>
        </is>
      </c>
      <c r="C92" s="62" t="inlineStr">
        <is>
          <t>PA=F</t>
        </is>
      </c>
      <c r="D92" s="164" t="n">
        <v>1423.5</v>
      </c>
      <c r="E92" s="164" t="n">
        <v>1435</v>
      </c>
      <c r="F92" s="164" t="n">
        <v>1380.5</v>
      </c>
      <c r="G92" s="164" t="n">
        <v>1411</v>
      </c>
      <c r="H92" s="172" t="n">
        <v>-0.009686</v>
      </c>
      <c r="I92" s="172" t="n">
        <v>-0.125774</v>
      </c>
      <c r="J92" s="172" t="n">
        <v>-0.221947</v>
      </c>
      <c r="K92" s="177" t="n">
        <v>928</v>
      </c>
      <c r="L92" s="177" t="n">
        <v>276</v>
      </c>
      <c r="M92" s="178" t="n">
        <v>3.36</v>
      </c>
      <c r="N92" s="175" t="inlineStr">
        <is>
          <t>BUY</t>
        </is>
      </c>
      <c r="O92" s="174" t="inlineStr">
        <is>
          <t>Bearish</t>
        </is>
      </c>
    </row>
    <row r="93">
      <c r="A93" t="inlineStr">
        <is>
          <t>23.03.2026</t>
        </is>
      </c>
      <c r="B93" s="170" t="inlineStr">
        <is>
          <t>Oil WTI</t>
        </is>
      </c>
      <c r="C93" s="62" t="inlineStr">
        <is>
          <t>CL=F</t>
        </is>
      </c>
      <c r="D93" s="164" t="n">
        <v>100.510002</v>
      </c>
      <c r="E93" s="164" t="n">
        <v>101.5</v>
      </c>
      <c r="F93" s="164" t="n">
        <v>96.75</v>
      </c>
      <c r="G93" s="164" t="n">
        <v>98.279999</v>
      </c>
      <c r="H93" s="172" t="n">
        <v>-0.000407</v>
      </c>
      <c r="I93" s="179" t="n">
        <v>0.021515</v>
      </c>
      <c r="J93" s="179" t="n">
        <v>0.497486</v>
      </c>
      <c r="K93" s="177" t="n">
        <v>43054</v>
      </c>
      <c r="L93" s="177" t="n">
        <v>520037</v>
      </c>
      <c r="M93" s="178" t="n">
        <v>0.08</v>
      </c>
      <c r="N93" s="173" t="inlineStr">
        <is>
          <t>WAIT</t>
        </is>
      </c>
      <c r="O93" s="175" t="inlineStr">
        <is>
          <t>Bullish</t>
        </is>
      </c>
    </row>
    <row r="94">
      <c r="A94" t="inlineStr">
        <is>
          <t>23.03.2026</t>
        </is>
      </c>
      <c r="B94" s="170" t="inlineStr">
        <is>
          <t>Oil Brent</t>
        </is>
      </c>
      <c r="C94" s="62" t="inlineStr">
        <is>
          <t>BZ=F</t>
        </is>
      </c>
      <c r="D94" s="164" t="n">
        <v>108.800003</v>
      </c>
      <c r="E94" s="164" t="n">
        <v>109.059998</v>
      </c>
      <c r="F94" s="164" t="n">
        <v>105.330002</v>
      </c>
      <c r="G94" s="164" t="n">
        <v>106.809998</v>
      </c>
      <c r="H94" s="172" t="n">
        <v>-0.047954</v>
      </c>
      <c r="I94" s="179" t="n">
        <v>0.032779</v>
      </c>
      <c r="J94" s="179" t="n">
        <v>0.509255</v>
      </c>
      <c r="K94" s="177" t="n">
        <v>5639</v>
      </c>
      <c r="L94" s="177" t="n">
        <v>103299</v>
      </c>
      <c r="M94" s="178" t="n">
        <v>0.05</v>
      </c>
      <c r="N94" s="173" t="inlineStr">
        <is>
          <t>WAIT</t>
        </is>
      </c>
      <c r="O94" s="175" t="inlineStr">
        <is>
          <t>Bullish</t>
        </is>
      </c>
    </row>
    <row r="95">
      <c r="A95" t="inlineStr">
        <is>
          <t>23.03.2026</t>
        </is>
      </c>
      <c r="B95" s="170" t="inlineStr">
        <is>
          <t>Natural Gas</t>
        </is>
      </c>
      <c r="C95" s="62" t="inlineStr">
        <is>
          <t>NG=F</t>
        </is>
      </c>
      <c r="D95" s="164" t="n">
        <v>3.108</v>
      </c>
      <c r="E95" s="164" t="n">
        <v>3.11</v>
      </c>
      <c r="F95" s="164" t="n">
        <v>3.012</v>
      </c>
      <c r="G95" s="164" t="n">
        <v>3.041</v>
      </c>
      <c r="H95" s="172" t="n">
        <v>-0.017448</v>
      </c>
      <c r="I95" s="179" t="n">
        <v>0.002638</v>
      </c>
      <c r="J95" s="179" t="n">
        <v>0.043225</v>
      </c>
      <c r="K95" s="177" t="n">
        <v>3049</v>
      </c>
      <c r="L95" s="177" t="n">
        <v>144906</v>
      </c>
      <c r="M95" s="178" t="n">
        <v>0.02</v>
      </c>
      <c r="N95" s="173" t="inlineStr">
        <is>
          <t>WAIT</t>
        </is>
      </c>
      <c r="O95" s="174" t="inlineStr">
        <is>
          <t>Bearish</t>
        </is>
      </c>
    </row>
    <row r="96">
      <c r="A96" t="inlineStr">
        <is>
          <t>23.03.2026</t>
        </is>
      </c>
      <c r="B96" s="170" t="inlineStr">
        <is>
          <t>Copper</t>
        </is>
      </c>
      <c r="C96" s="62" t="inlineStr">
        <is>
          <t>HG=F</t>
        </is>
      </c>
      <c r="D96" s="164" t="n">
        <v>5.312</v>
      </c>
      <c r="E96" s="164" t="n">
        <v>5.337</v>
      </c>
      <c r="F96" s="164" t="n">
        <v>5.246</v>
      </c>
      <c r="G96" s="164" t="n">
        <v>5.3345</v>
      </c>
      <c r="H96" s="172" t="n">
        <v>-0.001497</v>
      </c>
      <c r="I96" s="172" t="n">
        <v>-0.068454</v>
      </c>
      <c r="J96" s="172" t="n">
        <v>-0.099358</v>
      </c>
      <c r="K96" s="177" t="n">
        <v>11551</v>
      </c>
      <c r="L96" s="177" t="n">
        <v>3456</v>
      </c>
      <c r="M96" s="178" t="n">
        <v>3.34</v>
      </c>
      <c r="N96" s="175" t="inlineStr">
        <is>
          <t>BUY</t>
        </is>
      </c>
      <c r="O96" s="174" t="inlineStr">
        <is>
          <t>Bearish</t>
        </is>
      </c>
    </row>
    <row r="97">
      <c r="A97" t="inlineStr">
        <is>
          <t>23.03.2026</t>
        </is>
      </c>
      <c r="B97" s="170" t="inlineStr">
        <is>
          <t>Corn</t>
        </is>
      </c>
      <c r="C97" s="62" t="inlineStr">
        <is>
          <t>ZC=F</t>
        </is>
      </c>
      <c r="D97" s="164" t="n">
        <v>465.25</v>
      </c>
      <c r="E97" s="164" t="n">
        <v>468.5</v>
      </c>
      <c r="F97" s="164" t="n">
        <v>464</v>
      </c>
      <c r="G97" s="164" t="n">
        <v>468.5</v>
      </c>
      <c r="H97" s="179" t="n">
        <v>0.006444999999999999</v>
      </c>
      <c r="I97" s="179" t="n">
        <v>0.031938</v>
      </c>
      <c r="J97" s="179" t="n">
        <v>0.095266</v>
      </c>
      <c r="K97" s="177" t="n">
        <v>9612</v>
      </c>
      <c r="L97" s="177" t="n">
        <v>84873</v>
      </c>
      <c r="M97" s="178" t="n">
        <v>0.11</v>
      </c>
      <c r="N97" s="173" t="inlineStr">
        <is>
          <t>WAIT</t>
        </is>
      </c>
      <c r="O97" s="175" t="inlineStr">
        <is>
          <t>Bullish</t>
        </is>
      </c>
    </row>
    <row r="98">
      <c r="A98" t="inlineStr">
        <is>
          <t>23.03.2026</t>
        </is>
      </c>
      <c r="B98" s="170" t="inlineStr">
        <is>
          <t>Wheat</t>
        </is>
      </c>
      <c r="C98" s="62" t="inlineStr">
        <is>
          <t>ZW=F</t>
        </is>
      </c>
      <c r="D98" s="164" t="n">
        <v>596.5</v>
      </c>
      <c r="E98" s="164" t="n">
        <v>602.75</v>
      </c>
      <c r="F98" s="164" t="n">
        <v>592.5</v>
      </c>
      <c r="G98" s="164" t="n">
        <v>602.25</v>
      </c>
      <c r="H98" s="179" t="n">
        <v>0.01176</v>
      </c>
      <c r="I98" s="179" t="n">
        <v>0.021195</v>
      </c>
      <c r="J98" s="179" t="n">
        <v>0.061233</v>
      </c>
      <c r="K98" s="177" t="n">
        <v>2125</v>
      </c>
      <c r="L98" s="177" t="n">
        <v>27132</v>
      </c>
      <c r="M98" s="178" t="n">
        <v>0.08</v>
      </c>
      <c r="N98" s="173" t="inlineStr">
        <is>
          <t>WAIT</t>
        </is>
      </c>
      <c r="O98" s="175" t="inlineStr">
        <is>
          <t>Bullish</t>
        </is>
      </c>
    </row>
    <row r="99">
      <c r="A99" t="inlineStr">
        <is>
          <t>23.03.2026</t>
        </is>
      </c>
      <c r="B99" s="170" t="inlineStr">
        <is>
          <t>Soybean</t>
        </is>
      </c>
      <c r="C99" s="62" t="inlineStr">
        <is>
          <t>ZS=F</t>
        </is>
      </c>
      <c r="D99" s="164" t="n">
        <v>1160</v>
      </c>
      <c r="E99" s="164" t="n">
        <v>1166.5</v>
      </c>
      <c r="F99" s="164" t="n">
        <v>1155.25</v>
      </c>
      <c r="G99" s="164" t="n">
        <v>1166</v>
      </c>
      <c r="H99" s="179" t="n">
        <v>0.00409</v>
      </c>
      <c r="I99" s="179" t="n">
        <v>0.007779</v>
      </c>
      <c r="J99" s="179" t="n">
        <v>0.023256</v>
      </c>
      <c r="K99" s="177" t="n">
        <v>7042</v>
      </c>
      <c r="L99" s="177" t="n">
        <v>59342</v>
      </c>
      <c r="M99" s="178" t="n">
        <v>0.12</v>
      </c>
      <c r="N99" s="173" t="inlineStr">
        <is>
          <t>WAIT</t>
        </is>
      </c>
      <c r="O99" s="175" t="inlineStr">
        <is>
          <t>Bullish</t>
        </is>
      </c>
    </row>
    <row r="100">
      <c r="A100" t="inlineStr">
        <is>
          <t>23.03.2026</t>
        </is>
      </c>
      <c r="B100" s="170" t="inlineStr">
        <is>
          <t>Coffee</t>
        </is>
      </c>
      <c r="C100" s="62" t="inlineStr">
        <is>
          <t>KC=F</t>
        </is>
      </c>
      <c r="D100" s="164" t="n">
        <v>275</v>
      </c>
      <c r="E100" s="164" t="n">
        <v>312.399994</v>
      </c>
      <c r="F100" s="164" t="n">
        <v>297.399994</v>
      </c>
      <c r="G100" s="164" t="n">
        <v>276.200012</v>
      </c>
      <c r="H100" s="172" t="n">
        <v>-0.09797499999999999</v>
      </c>
      <c r="I100" s="172" t="n">
        <v>-0.072376</v>
      </c>
      <c r="J100" s="172" t="n">
        <v>-0.017606</v>
      </c>
      <c r="K100" s="177" t="n">
        <v>24943</v>
      </c>
      <c r="L100" s="177" t="n">
        <v>2130</v>
      </c>
      <c r="M100" s="178" t="n">
        <v>11.71</v>
      </c>
      <c r="N100" s="173" t="inlineStr">
        <is>
          <t>WAIT</t>
        </is>
      </c>
      <c r="O100" s="174" t="inlineStr">
        <is>
          <t>Bearish</t>
        </is>
      </c>
    </row>
    <row r="101">
      <c r="A101" t="inlineStr">
        <is>
          <t>23.03.2026</t>
        </is>
      </c>
      <c r="B101" s="170" t="inlineStr">
        <is>
          <t>Sugar</t>
        </is>
      </c>
      <c r="C101" s="62" t="inlineStr">
        <is>
          <t>SB=F</t>
        </is>
      </c>
      <c r="D101" s="164" t="n">
        <v>15.33</v>
      </c>
      <c r="E101" s="164" t="n">
        <v>15.72</v>
      </c>
      <c r="F101" s="164" t="n">
        <v>15.27</v>
      </c>
      <c r="G101" s="164" t="n">
        <v>15.7</v>
      </c>
      <c r="H101" s="179" t="n">
        <v>0.02147</v>
      </c>
      <c r="I101" s="179" t="n">
        <v>0.106413</v>
      </c>
      <c r="J101" s="179" t="n">
        <v>0.086505</v>
      </c>
      <c r="K101" s="177" t="n">
        <v>172542</v>
      </c>
      <c r="L101" s="177" t="n">
        <v>86108</v>
      </c>
      <c r="M101" s="178" t="n">
        <v>2</v>
      </c>
      <c r="N101" s="173" t="inlineStr">
        <is>
          <t>WAIT</t>
        </is>
      </c>
      <c r="O101" s="175" t="inlineStr">
        <is>
          <t>Bullish</t>
        </is>
      </c>
    </row>
    <row r="102">
      <c r="A102" t="inlineStr">
        <is>
          <t>23.03.2026</t>
        </is>
      </c>
      <c r="B102" s="170" t="inlineStr">
        <is>
          <t>Cotton</t>
        </is>
      </c>
      <c r="C102" s="62" t="inlineStr">
        <is>
          <t>CT=F</t>
        </is>
      </c>
      <c r="D102" s="164" t="n">
        <v>67.69000200000001</v>
      </c>
      <c r="E102" s="164" t="n">
        <v>68.209999</v>
      </c>
      <c r="F102" s="164" t="n">
        <v>67.099998</v>
      </c>
      <c r="G102" s="164" t="n">
        <v>67.30999799999999</v>
      </c>
      <c r="H102" s="172" t="n">
        <v>-0.00532</v>
      </c>
      <c r="I102" s="172" t="n">
        <v>-0.012905</v>
      </c>
      <c r="J102" s="179" t="n">
        <v>0.058999</v>
      </c>
      <c r="K102" s="177" t="n">
        <v>41317</v>
      </c>
      <c r="L102" s="177" t="n">
        <v>20834</v>
      </c>
      <c r="M102" s="178" t="n">
        <v>1.98</v>
      </c>
      <c r="N102" s="173" t="inlineStr">
        <is>
          <t>WAIT</t>
        </is>
      </c>
      <c r="O102" s="175" t="inlineStr">
        <is>
          <t>Bullish</t>
        </is>
      </c>
    </row>
  </sheetData>
  <mergeCells count="1">
    <mergeCell ref="A1:O1"/>
  </mergeCells>
  <conditionalFormatting sqref="G3:I500">
    <cfRule type="cellIs" priority="2" operator="greaterThan" dxfId="2">
      <formula>0</formula>
    </cfRule>
    <cfRule type="cellIs" priority="3" operator="lessThan" dxfId="1">
      <formula>0</formula>
    </cfRule>
  </conditionalFormatting>
  <conditionalFormatting sqref="L3:L500">
    <cfRule type="colorScale" priority="7">
      <colorScale>
        <cfvo type="num" val="0.5"/>
        <cfvo type="num" val="1"/>
        <cfvo type="num" val="2"/>
        <color rgb="FFFFC7CE"/>
        <color rgb="FFFFEB9C"/>
        <color rgb="FFC6EFCE"/>
      </colorScale>
    </cfRule>
  </conditionalFormatting>
  <conditionalFormatting sqref="O3:O500">
    <cfRule type="cellIs" priority="4" operator="equal" dxfId="2">
      <formula>"Bullish"</formula>
    </cfRule>
    <cfRule type="cellIs" priority="5" operator="equal" dxfId="1">
      <formula>"Bearish"</formula>
    </cfRule>
    <cfRule type="cellIs" priority="6" operator="equal" dxfId="0">
      <formula>"Sideways"</formula>
    </cfRule>
  </conditionalFormatting>
  <dataValidations count="1">
    <dataValidation sqref="M3:M500" showDropDown="0" showInputMessage="0" showErrorMessage="0" allowBlank="1" type="list">
      <formula1>"T1 (Ian-Mar),T2 (Apr-Iun),T3 (Iul-Sep),T4 (Oct-Dec)"</formula1>
      <formula2>0</formula2>
    </dataValidation>
  </dataValidations>
  <pageMargins left="0.75" right="0.75" top="1" bottom="1" header="0.511811023622047" footer="0.511811023622047"/>
  <pageSetup orientation="portrait" paperSize="9" scale="44" horizontalDpi="300" verticalDpi="300"/>
</worksheet>
</file>

<file path=xl/worksheets/sheet8.xml><?xml version="1.0" encoding="utf-8"?>
<worksheet xmlns="http://schemas.openxmlformats.org/spreadsheetml/2006/main">
  <sheetPr>
    <tabColor rgb="FF9C0006"/>
    <outlinePr summaryBelow="1" summaryRight="1"/>
    <pageSetUpPr/>
  </sheetPr>
  <dimension ref="A1:N21"/>
  <sheetViews>
    <sheetView tabSelected="1" view="pageBreakPreview" zoomScale="60" zoomScaleNormal="100" workbookViewId="0">
      <pane xSplit="2" ySplit="2" topLeftCell="C3" activePane="bottomRight" state="frozen"/>
      <selection pane="topRight" activeCell="C1" sqref="C1"/>
      <selection pane="bottomLeft" activeCell="A3" sqref="A3"/>
      <selection pane="bottomRight" activeCell="A8" sqref="A8"/>
    </sheetView>
  </sheetViews>
  <sheetFormatPr baseColWidth="8" defaultColWidth="8.6328125" defaultRowHeight="14.5"/>
  <cols>
    <col width="6" customWidth="1" style="113" min="1" max="1"/>
    <col width="12" customWidth="1" style="113" min="2" max="2"/>
    <col width="14" customWidth="1" style="113" min="3" max="3"/>
    <col width="42" customWidth="1" style="113" min="4" max="4"/>
    <col width="10" customWidth="1" style="113" min="5" max="5"/>
    <col width="12" customWidth="1" style="113" min="6" max="8"/>
    <col width="35" customWidth="1" style="113" min="9" max="9"/>
    <col width="14" customWidth="1" style="113" min="10" max="10"/>
    <col width="12" customWidth="1" style="113" min="11" max="12"/>
    <col width="25" customWidth="1" style="113" min="13" max="13"/>
    <col width="15" customWidth="1" style="113" min="14" max="14"/>
  </cols>
  <sheetData>
    <row r="1" ht="34.5" customHeight="1" s="113">
      <c r="A1" s="155" t="inlineStr">
        <is>
          <t>⚠️ RISCURI &amp; OPORTUNITĂȚI</t>
        </is>
      </c>
    </row>
    <row r="2" ht="23.25" customHeight="1" s="113">
      <c r="A2" s="143" t="inlineStr">
        <is>
          <t>ID</t>
        </is>
      </c>
      <c r="B2" s="143" t="inlineStr">
        <is>
          <t>Tip</t>
        </is>
      </c>
      <c r="C2" s="143" t="inlineStr">
        <is>
          <t>Categorie</t>
        </is>
      </c>
      <c r="D2" s="143" t="inlineStr">
        <is>
          <t>Descriere</t>
        </is>
      </c>
      <c r="E2" s="143" t="inlineStr">
        <is>
          <t>Impact (1-5)</t>
        </is>
      </c>
      <c r="F2" s="143" t="inlineStr">
        <is>
          <t>Probabilitate (%)</t>
        </is>
      </c>
      <c r="G2" s="143" t="inlineStr">
        <is>
          <t>Scor prioritate</t>
        </is>
      </c>
      <c r="H2" s="143" t="inlineStr">
        <is>
          <t>Orizont</t>
        </is>
      </c>
      <c r="I2" s="143" t="inlineStr">
        <is>
          <t>Acțiuni recomandate</t>
        </is>
      </c>
      <c r="J2" s="143" t="inlineStr">
        <is>
          <t>Owner</t>
        </is>
      </c>
      <c r="K2" s="143" t="inlineStr">
        <is>
          <t>Status</t>
        </is>
      </c>
      <c r="L2" s="143" t="inlineStr">
        <is>
          <t>Data</t>
        </is>
      </c>
      <c r="M2" s="143" t="inlineStr">
        <is>
          <t>Note</t>
        </is>
      </c>
    </row>
    <row r="3" ht="27.75" customHeight="1" s="113">
      <c r="A3" s="19" t="inlineStr">
        <is>
          <t>R01</t>
        </is>
      </c>
      <c r="B3" s="131" t="inlineStr">
        <is>
          <t>Risc</t>
        </is>
      </c>
      <c r="C3" s="130" t="inlineStr">
        <is>
          <t>Macro</t>
        </is>
      </c>
      <c r="D3" s="137" t="inlineStr">
        <is>
          <t>Inflatie persistenta peste tinta Fed — presiune rate</t>
        </is>
      </c>
      <c r="E3" s="131" t="inlineStr">
        <is>
          <t>4</t>
        </is>
      </c>
      <c r="F3" s="131" t="inlineStr">
        <is>
          <t>65</t>
        </is>
      </c>
      <c r="G3" s="163">
        <f>E3*(F3/100)</f>
        <v/>
      </c>
      <c r="H3" s="131" t="inlineStr">
        <is>
          <t>3-12 luni</t>
        </is>
      </c>
      <c r="I3" s="137" t="inlineStr">
        <is>
          <t>Reducere expunere rate-sensitive</t>
        </is>
      </c>
      <c r="J3" s="131" t="inlineStr">
        <is>
          <t>Analist macro</t>
        </is>
      </c>
      <c r="K3" s="131" t="inlineStr">
        <is>
          <t>Monitorizat</t>
        </is>
      </c>
      <c r="L3" s="130" t="inlineStr">
        <is>
          <t>22.03.2026</t>
        </is>
      </c>
      <c r="M3" s="137" t="inlineStr">
        <is>
          <t>Risc principal 2025</t>
        </is>
      </c>
    </row>
    <row r="4" ht="27.75" customHeight="1" s="113">
      <c r="A4" s="19" t="inlineStr">
        <is>
          <t>R02</t>
        </is>
      </c>
      <c r="B4" s="131" t="inlineStr">
        <is>
          <t>Risc</t>
        </is>
      </c>
      <c r="C4" s="130" t="inlineStr">
        <is>
          <t>Geopolitic</t>
        </is>
      </c>
      <c r="D4" s="137" t="inlineStr">
        <is>
          <t>Escaladare tensiuni geopolitice — impact commodity</t>
        </is>
      </c>
      <c r="E4" s="131" t="inlineStr">
        <is>
          <t>3</t>
        </is>
      </c>
      <c r="F4" s="131" t="inlineStr">
        <is>
          <t>45</t>
        </is>
      </c>
      <c r="G4" s="163">
        <f>E4*(F4/100)</f>
        <v/>
      </c>
      <c r="H4" s="131" t="inlineStr">
        <is>
          <t>1-3 luni</t>
        </is>
      </c>
      <c r="I4" s="137" t="inlineStr">
        <is>
          <t>Diversificare; gold hedge</t>
        </is>
      </c>
      <c r="J4" s="131" t="inlineStr">
        <is>
          <t>Risk Manager</t>
        </is>
      </c>
      <c r="K4" s="131" t="inlineStr">
        <is>
          <t>Monitorizat</t>
        </is>
      </c>
      <c r="L4" s="130" t="inlineStr">
        <is>
          <t>22.03.2026</t>
        </is>
      </c>
      <c r="M4" s="137" t="n"/>
    </row>
    <row r="5" ht="15" customHeight="1" s="113">
      <c r="A5" s="19" t="inlineStr">
        <is>
          <t>R03</t>
        </is>
      </c>
      <c r="B5" s="131" t="inlineStr">
        <is>
          <t>Risc</t>
        </is>
      </c>
      <c r="C5" s="130" t="inlineStr">
        <is>
          <t>Tehnic</t>
        </is>
      </c>
      <c r="D5" s="137" t="inlineStr">
        <is>
          <t>Breakdown MA200 — inversare trend major</t>
        </is>
      </c>
      <c r="E5" s="131" t="inlineStr">
        <is>
          <t>4</t>
        </is>
      </c>
      <c r="F5" s="131" t="inlineStr">
        <is>
          <t>30</t>
        </is>
      </c>
      <c r="G5" s="163">
        <f>E5*(F5/100)</f>
        <v/>
      </c>
      <c r="H5" s="131" t="inlineStr">
        <is>
          <t>Imediat</t>
        </is>
      </c>
      <c r="I5" s="137" t="inlineStr">
        <is>
          <t>SL stricte; reducere sizing</t>
        </is>
      </c>
      <c r="J5" s="131" t="inlineStr">
        <is>
          <t>Trader</t>
        </is>
      </c>
      <c r="K5" s="131" t="inlineStr">
        <is>
          <t>Nou</t>
        </is>
      </c>
      <c r="L5" s="130" t="inlineStr">
        <is>
          <t>22.03.2026</t>
        </is>
      </c>
      <c r="M5" s="137" t="inlineStr">
        <is>
          <t>Monitorizare zilnica</t>
        </is>
      </c>
    </row>
    <row r="6" ht="27.75" customHeight="1" s="113">
      <c r="A6" s="19" t="inlineStr">
        <is>
          <t>R04</t>
        </is>
      </c>
      <c r="B6" s="131" t="inlineStr">
        <is>
          <t>Risc</t>
        </is>
      </c>
      <c r="C6" s="130" t="inlineStr">
        <is>
          <t>Regulatoriu</t>
        </is>
      </c>
      <c r="D6" s="137" t="inlineStr">
        <is>
          <t>Reglementari AI/Tech — impact valuation multiple</t>
        </is>
      </c>
      <c r="E6" s="131" t="inlineStr">
        <is>
          <t>3</t>
        </is>
      </c>
      <c r="F6" s="131" t="inlineStr">
        <is>
          <t>55</t>
        </is>
      </c>
      <c r="G6" s="163">
        <f>E6*(F6/100)</f>
        <v/>
      </c>
      <c r="H6" s="131" t="inlineStr">
        <is>
          <t>3-12 luni</t>
        </is>
      </c>
      <c r="I6" s="137" t="inlineStr">
        <is>
          <t>Monitorizare legislativa; hedge sector</t>
        </is>
      </c>
      <c r="J6" s="131" t="inlineStr">
        <is>
          <t>Analist sector</t>
        </is>
      </c>
      <c r="K6" s="131" t="inlineStr">
        <is>
          <t>Monitorizat</t>
        </is>
      </c>
      <c r="L6" s="130" t="inlineStr">
        <is>
          <t>22.03.2026</t>
        </is>
      </c>
      <c r="M6" s="137" t="n"/>
    </row>
    <row r="7" ht="15" customHeight="1" s="113">
      <c r="A7" s="19" t="inlineStr">
        <is>
          <t>R05</t>
        </is>
      </c>
      <c r="B7" s="131" t="inlineStr">
        <is>
          <t>Risc</t>
        </is>
      </c>
      <c r="C7" s="130" t="inlineStr">
        <is>
          <t>Macro</t>
        </is>
      </c>
      <c r="D7" s="137" t="inlineStr">
        <is>
          <t>Recesiune SUA — reducere venituri corporate</t>
        </is>
      </c>
      <c r="E7" s="131" t="inlineStr">
        <is>
          <t>5</t>
        </is>
      </c>
      <c r="F7" s="131" t="inlineStr">
        <is>
          <t>25</t>
        </is>
      </c>
      <c r="G7" s="163">
        <f>E7*(F7/100)</f>
        <v/>
      </c>
      <c r="H7" s="131" t="inlineStr">
        <is>
          <t>3-12 luni</t>
        </is>
      </c>
      <c r="I7" s="137" t="inlineStr">
        <is>
          <t>Defensive positioning; cash buffer</t>
        </is>
      </c>
      <c r="J7" s="131" t="inlineStr">
        <is>
          <t>PM</t>
        </is>
      </c>
      <c r="K7" s="131" t="inlineStr">
        <is>
          <t>Nou</t>
        </is>
      </c>
      <c r="L7" s="130" t="inlineStr">
        <is>
          <t>22.03.2026</t>
        </is>
      </c>
      <c r="M7" s="137" t="inlineStr">
        <is>
          <t>Risc scazut probabilitate</t>
        </is>
      </c>
    </row>
    <row r="8" ht="27.75" customHeight="1" s="113">
      <c r="A8" s="19" t="inlineStr">
        <is>
          <t>O01</t>
        </is>
      </c>
      <c r="B8" s="131" t="inlineStr">
        <is>
          <t>Oportunitate</t>
        </is>
      </c>
      <c r="C8" s="130" t="inlineStr">
        <is>
          <t>Tehnic</t>
        </is>
      </c>
      <c r="D8" s="137" t="inlineStr">
        <is>
          <t>RSI oversold + Golden Cross confirmata — entry tehnic</t>
        </is>
      </c>
      <c r="E8" s="131" t="inlineStr">
        <is>
          <t>4</t>
        </is>
      </c>
      <c r="F8" s="131" t="inlineStr">
        <is>
          <t>70</t>
        </is>
      </c>
      <c r="G8" s="163">
        <f>E8*(F8/100)</f>
        <v/>
      </c>
      <c r="H8" s="131" t="inlineStr">
        <is>
          <t>Imediat</t>
        </is>
      </c>
      <c r="I8" s="137" t="inlineStr">
        <is>
          <t>BUY la confirmare + volum</t>
        </is>
      </c>
      <c r="J8" s="131" t="inlineStr">
        <is>
          <t>Trader</t>
        </is>
      </c>
      <c r="K8" s="131" t="inlineStr">
        <is>
          <t>Nou</t>
        </is>
      </c>
      <c r="L8" s="130" t="inlineStr">
        <is>
          <t>22.03.2026</t>
        </is>
      </c>
      <c r="M8" s="137" t="inlineStr">
        <is>
          <t>Setup favorabil</t>
        </is>
      </c>
    </row>
    <row r="9" ht="27.75" customHeight="1" s="113">
      <c r="A9" s="19" t="inlineStr">
        <is>
          <t>O02</t>
        </is>
      </c>
      <c r="B9" s="131" t="inlineStr">
        <is>
          <t>Oportunitate</t>
        </is>
      </c>
      <c r="C9" s="130" t="inlineStr">
        <is>
          <t>Sector</t>
        </is>
      </c>
      <c r="D9" s="137" t="inlineStr">
        <is>
          <t>AI infrastructure build-out — CAPEX data centers</t>
        </is>
      </c>
      <c r="E9" s="131" t="inlineStr">
        <is>
          <t>5</t>
        </is>
      </c>
      <c r="F9" s="131" t="inlineStr">
        <is>
          <t>75</t>
        </is>
      </c>
      <c r="G9" s="163">
        <f>E9*(F9/100)</f>
        <v/>
      </c>
      <c r="H9" s="131" t="inlineStr">
        <is>
          <t>3-12 luni</t>
        </is>
      </c>
      <c r="I9" s="137" t="inlineStr">
        <is>
          <t>Long NVDA, MSFT, AMD</t>
        </is>
      </c>
      <c r="J9" s="131" t="inlineStr">
        <is>
          <t>Analist sector</t>
        </is>
      </c>
      <c r="K9" s="131" t="inlineStr">
        <is>
          <t>Monitorizat</t>
        </is>
      </c>
      <c r="L9" s="130" t="inlineStr">
        <is>
          <t>22.03.2026</t>
        </is>
      </c>
      <c r="M9" s="137" t="inlineStr">
        <is>
          <t>Mega-trend secular</t>
        </is>
      </c>
    </row>
    <row r="10" ht="27.75" customHeight="1" s="113">
      <c r="A10" s="19" t="inlineStr">
        <is>
          <t>O03</t>
        </is>
      </c>
      <c r="B10" s="131" t="inlineStr">
        <is>
          <t>Oportunitate</t>
        </is>
      </c>
      <c r="C10" s="130" t="inlineStr">
        <is>
          <t>Macro</t>
        </is>
      </c>
      <c r="D10" s="137" t="inlineStr">
        <is>
          <t>Ciclu de relaxare monetara Fed — tailwind equities</t>
        </is>
      </c>
      <c r="E10" s="131" t="inlineStr">
        <is>
          <t>4</t>
        </is>
      </c>
      <c r="F10" s="131" t="inlineStr">
        <is>
          <t>60</t>
        </is>
      </c>
      <c r="G10" s="163">
        <f>E10*(F10/100)</f>
        <v/>
      </c>
      <c r="H10" s="131" t="inlineStr">
        <is>
          <t>3-12 luni</t>
        </is>
      </c>
      <c r="I10" s="137" t="inlineStr">
        <is>
          <t>Growth stocks, REIT exposure</t>
        </is>
      </c>
      <c r="J10" s="131" t="inlineStr">
        <is>
          <t>PM</t>
        </is>
      </c>
      <c r="K10" s="131" t="inlineStr">
        <is>
          <t>Monitorizat</t>
        </is>
      </c>
      <c r="L10" s="130" t="inlineStr">
        <is>
          <t>22.03.2026</t>
        </is>
      </c>
      <c r="M10" s="137" t="inlineStr">
        <is>
          <t>Conditionat date inflatie</t>
        </is>
      </c>
    </row>
    <row r="11" ht="27.75" customHeight="1" s="113">
      <c r="A11" s="19" t="inlineStr">
        <is>
          <t>O04</t>
        </is>
      </c>
      <c r="B11" s="131" t="inlineStr">
        <is>
          <t>Oportunitate</t>
        </is>
      </c>
      <c r="C11" s="130" t="inlineStr">
        <is>
          <t>Geopolitic</t>
        </is>
      </c>
      <c r="D11" s="137" t="inlineStr">
        <is>
          <t>Normalizare relatii comerciale — beneficii export</t>
        </is>
      </c>
      <c r="E11" s="131" t="inlineStr">
        <is>
          <t>3</t>
        </is>
      </c>
      <c r="F11" s="131" t="inlineStr">
        <is>
          <t>40</t>
        </is>
      </c>
      <c r="G11" s="163">
        <f>E11*(F11/100)</f>
        <v/>
      </c>
      <c r="H11" s="131" t="inlineStr">
        <is>
          <t>3-12 luni</t>
        </is>
      </c>
      <c r="I11" s="137" t="inlineStr">
        <is>
          <t>Expunere international</t>
        </is>
      </c>
      <c r="J11" s="131" t="inlineStr">
        <is>
          <t>Analist macro</t>
        </is>
      </c>
      <c r="K11" s="131" t="inlineStr">
        <is>
          <t>Nou</t>
        </is>
      </c>
      <c r="L11" s="130" t="inlineStr">
        <is>
          <t>22.03.2026</t>
        </is>
      </c>
      <c r="M11" s="137" t="n"/>
    </row>
    <row r="15" ht="15" customHeight="1" s="113">
      <c r="A15" s="160" t="inlineStr">
        <is>
          <t>🗺️ MATRICE RISC 5×5</t>
        </is>
      </c>
    </row>
    <row r="16" ht="23.25" customHeight="1" s="113">
      <c r="A16" s="143" t="n"/>
      <c r="B16" s="143" t="inlineStr">
        <is>
          <t>Impact 1
(Minim)</t>
        </is>
      </c>
      <c r="C16" s="143" t="inlineStr">
        <is>
          <t>Impact 2
(Scăzut)</t>
        </is>
      </c>
      <c r="D16" s="143" t="inlineStr">
        <is>
          <t>Impact 3
(Mediu)</t>
        </is>
      </c>
      <c r="E16" s="143" t="inlineStr">
        <is>
          <t>Impact 4
(Ridicat)</t>
        </is>
      </c>
      <c r="F16" s="143" t="inlineStr">
        <is>
          <t>Impact 5
(Critic)</t>
        </is>
      </c>
    </row>
    <row r="17" ht="30" customHeight="1" s="113">
      <c r="A17" s="21" t="inlineStr">
        <is>
          <t>Prob 5 (&gt;80%)</t>
        </is>
      </c>
      <c r="B17" s="22" t="n">
        <v>5</v>
      </c>
      <c r="C17" s="23" t="n">
        <v>10</v>
      </c>
      <c r="D17" s="24" t="n">
        <v>15</v>
      </c>
      <c r="E17" s="24" t="n">
        <v>20</v>
      </c>
      <c r="F17" s="24" t="n">
        <v>25</v>
      </c>
    </row>
    <row r="18" ht="30" customHeight="1" s="113">
      <c r="A18" s="21" t="inlineStr">
        <is>
          <t>Prob 4 (60-80%)</t>
        </is>
      </c>
      <c r="B18" s="22" t="n">
        <v>4</v>
      </c>
      <c r="C18" s="22" t="n">
        <v>8</v>
      </c>
      <c r="D18" s="23" t="n">
        <v>12</v>
      </c>
      <c r="E18" s="24" t="n">
        <v>16</v>
      </c>
      <c r="F18" s="24" t="n">
        <v>20</v>
      </c>
    </row>
    <row r="19" ht="30" customHeight="1" s="113">
      <c r="A19" s="21" t="inlineStr">
        <is>
          <t>Prob 3 (40-60%)</t>
        </is>
      </c>
      <c r="B19" s="25" t="n">
        <v>3</v>
      </c>
      <c r="C19" s="22" t="n">
        <v>6</v>
      </c>
      <c r="D19" s="22" t="n">
        <v>9</v>
      </c>
      <c r="E19" s="23" t="n">
        <v>12</v>
      </c>
      <c r="F19" s="24" t="n">
        <v>15</v>
      </c>
    </row>
    <row r="20" ht="30" customHeight="1" s="113">
      <c r="A20" s="21" t="inlineStr">
        <is>
          <t>Prob 2 (20-40%)</t>
        </is>
      </c>
      <c r="B20" s="25" t="n">
        <v>2</v>
      </c>
      <c r="C20" s="25" t="n">
        <v>4</v>
      </c>
      <c r="D20" s="22" t="n">
        <v>6</v>
      </c>
      <c r="E20" s="22" t="n">
        <v>8</v>
      </c>
      <c r="F20" s="23" t="n">
        <v>10</v>
      </c>
    </row>
    <row r="21" ht="30" customHeight="1" s="113">
      <c r="A21" s="21" t="inlineStr">
        <is>
          <t>Prob 1 (&lt;20%)</t>
        </is>
      </c>
      <c r="B21" s="25" t="n">
        <v>1</v>
      </c>
      <c r="C21" s="25" t="n">
        <v>2</v>
      </c>
      <c r="D21" s="25" t="n">
        <v>3</v>
      </c>
      <c r="E21" s="22" t="n">
        <v>4</v>
      </c>
      <c r="F21" s="22" t="n">
        <v>5</v>
      </c>
    </row>
  </sheetData>
  <mergeCells count="2">
    <mergeCell ref="A15:F15"/>
    <mergeCell ref="A1:N1"/>
  </mergeCells>
  <conditionalFormatting sqref="B3:B200">
    <cfRule type="cellIs" priority="8" operator="equal" dxfId="1">
      <formula>"Risc"</formula>
    </cfRule>
    <cfRule type="cellIs" priority="9" operator="equal" dxfId="2">
      <formula>"Oportunitate"</formula>
    </cfRule>
  </conditionalFormatting>
  <conditionalFormatting sqref="G3:G200">
    <cfRule type="colorScale" priority="10">
      <colorScale>
        <cfvo type="num" val="0"/>
        <cfvo type="num" val="10"/>
        <cfvo type="num" val="20"/>
        <color rgb="FFC6EFCE"/>
        <color rgb="FFFFEB9C"/>
        <color rgb="FFFFC7CE"/>
      </colorScale>
    </cfRule>
  </conditionalFormatting>
  <conditionalFormatting sqref="K3:K200">
    <cfRule type="cellIs" priority="2" operator="equal" dxfId="2">
      <formula>"Activ"</formula>
    </cfRule>
    <cfRule type="cellIs" priority="3" operator="equal" dxfId="2">
      <formula>"Pozitiv"</formula>
    </cfRule>
    <cfRule type="cellIs" priority="4" operator="equal" dxfId="0">
      <formula>"Executat"</formula>
    </cfRule>
    <cfRule type="cellIs" priority="5" operator="equal" dxfId="1">
      <formula>"Expirat"</formula>
    </cfRule>
    <cfRule type="cellIs" priority="6" operator="equal" dxfId="1">
      <formula>"Negativ"</formula>
    </cfRule>
    <cfRule type="cellIs" priority="7" operator="equal" dxfId="0">
      <formula>"Neutru"</formula>
    </cfRule>
  </conditionalFormatting>
  <dataValidations count="5">
    <dataValidation sqref="B3:B200" showDropDown="0" showInputMessage="0" showErrorMessage="0" allowBlank="1" type="list">
      <formula1>"Risc,Oportunitate"</formula1>
      <formula2>0</formula2>
    </dataValidation>
    <dataValidation sqref="C3:C200" showDropDown="0" showInputMessage="0" showErrorMessage="0" allowBlank="1" type="list">
      <formula1>"Macro,Sector,Tehnic,Geopolitic,Regulatoriu,Operațional"</formula1>
      <formula2>0</formula2>
    </dataValidation>
    <dataValidation sqref="E3:E200" showDropDown="0" showInputMessage="0" showErrorMessage="0" allowBlank="1" type="list">
      <formula1>"1,2,3,4,5"</formula1>
      <formula2>0</formula2>
    </dataValidation>
    <dataValidation sqref="H3:H200" showDropDown="0" showInputMessage="0" showErrorMessage="0" allowBlank="1" type="list">
      <formula1>"Imediat,1-3 luni,3-12 luni,1+ an"</formula1>
      <formula2>0</formula2>
    </dataValidation>
    <dataValidation sqref="K3:K200" showDropDown="0" showInputMessage="0" showErrorMessage="0" allowBlank="1" type="list">
      <formula1>"Nou,Monitorizat,Rezolvat"</formula1>
      <formula2>0</formula2>
    </dataValidation>
  </dataValidations>
  <pageMargins left="0.75" right="0.75" top="1" bottom="1" header="0.511811023622047" footer="0.511811023622047"/>
  <pageSetup orientation="portrait" paperSize="9" scale="36" horizontalDpi="300" verticalDpi="300"/>
</worksheet>
</file>

<file path=xl/worksheets/sheet9.xml><?xml version="1.0" encoding="utf-8"?>
<worksheet xmlns="http://schemas.openxmlformats.org/spreadsheetml/2006/main">
  <sheetPr>
    <tabColor rgb="FF808080"/>
    <outlinePr summaryBelow="1" summaryRight="1"/>
    <pageSetUpPr/>
  </sheetPr>
  <dimension ref="A1:L10"/>
  <sheetViews>
    <sheetView view="pageBreakPreview" zoomScale="60" zoomScaleNormal="100" workbookViewId="0">
      <pane xSplit="1" ySplit="2" topLeftCell="B3" activePane="bottomRight" state="frozen"/>
      <selection pane="topRight" activeCell="B1" sqref="B1"/>
      <selection pane="bottomLeft" activeCell="A3" sqref="A3"/>
      <selection pane="bottomRight" activeCell="A1" sqref="A1:L1"/>
    </sheetView>
  </sheetViews>
  <sheetFormatPr baseColWidth="8" defaultColWidth="8.6328125" defaultRowHeight="14.5"/>
  <cols>
    <col width="22" customWidth="1" style="113" min="1" max="1"/>
    <col width="35" customWidth="1" style="113" min="2" max="2"/>
    <col width="8" customWidth="1" style="113" min="3" max="3"/>
    <col width="14" customWidth="1" style="113" min="4" max="4"/>
    <col width="10" customWidth="1" style="113" min="5" max="8"/>
    <col width="16" customWidth="1" style="113" min="9" max="9"/>
    <col width="18" customWidth="1" style="113" min="10" max="10"/>
    <col width="30" customWidth="1" style="113" min="11" max="11"/>
  </cols>
  <sheetData>
    <row r="1" ht="34.5" customHeight="1" s="113">
      <c r="A1" s="155" t="inlineStr">
        <is>
          <t>📅 CALENDAR ECONOMIC — EVENIMENTE DE PIATĂ</t>
        </is>
      </c>
    </row>
    <row r="2" ht="15" customHeight="1" s="113">
      <c r="A2" s="143" t="inlineStr">
        <is>
          <t>Data &amp; Ora</t>
        </is>
      </c>
      <c r="B2" s="143" t="inlineStr">
        <is>
          <t>Eveniment</t>
        </is>
      </c>
      <c r="C2" s="143" t="inlineStr">
        <is>
          <t>Țară</t>
        </is>
      </c>
      <c r="D2" s="143" t="inlineStr">
        <is>
          <t>Impact</t>
        </is>
      </c>
      <c r="E2" s="143" t="inlineStr">
        <is>
          <t>Anterior</t>
        </is>
      </c>
      <c r="F2" s="143" t="inlineStr">
        <is>
          <t>Estimare</t>
        </is>
      </c>
      <c r="G2" s="143" t="inlineStr">
        <is>
          <t>Actual</t>
        </is>
      </c>
      <c r="H2" s="143" t="inlineStr">
        <is>
          <t>Deviere</t>
        </is>
      </c>
      <c r="I2" s="143" t="inlineStr">
        <is>
          <t>Impact real</t>
        </is>
      </c>
      <c r="J2" s="143" t="inlineStr">
        <is>
          <t>Activ afectat</t>
        </is>
      </c>
      <c r="K2" s="143" t="inlineStr">
        <is>
          <t>Note</t>
        </is>
      </c>
    </row>
    <row r="3" ht="15" customHeight="1" s="113">
      <c r="A3" s="26" t="inlineStr">
        <is>
          <t>22.03.2026 14:30</t>
        </is>
      </c>
      <c r="B3" s="137" t="inlineStr">
        <is>
          <t>Non-Farm Payrolls</t>
        </is>
      </c>
      <c r="C3" s="130" t="inlineStr">
        <is>
          <t>SUA</t>
        </is>
      </c>
      <c r="D3" s="130" t="inlineStr">
        <is>
          <t>⚡⚡⚡ Ridicat</t>
        </is>
      </c>
      <c r="E3" s="131" t="inlineStr">
        <is>
          <t>275K</t>
        </is>
      </c>
      <c r="F3" s="131" t="inlineStr">
        <is>
          <t>225K</t>
        </is>
      </c>
      <c r="G3" s="131" t="inlineStr">
        <is>
          <t>242K</t>
        </is>
      </c>
      <c r="H3" s="130">
        <f>IFERROR(G3-F3,"")</f>
        <v/>
      </c>
      <c r="I3" s="16" t="inlineStr">
        <is>
          <t>Pozitiv moderat</t>
        </is>
      </c>
      <c r="J3" s="137" t="inlineStr">
        <is>
          <t>USD, S&amp;P500</t>
        </is>
      </c>
      <c r="K3" s="137" t="inlineStr">
        <is>
          <t>Deasupra estimarilor</t>
        </is>
      </c>
    </row>
    <row r="4" ht="15" customHeight="1" s="113">
      <c r="A4" s="26" t="inlineStr">
        <is>
          <t>22.03.2026 14:30</t>
        </is>
      </c>
      <c r="B4" s="137" t="inlineStr">
        <is>
          <t>Unemployment Rate</t>
        </is>
      </c>
      <c r="C4" s="130" t="inlineStr">
        <is>
          <t>SUA</t>
        </is>
      </c>
      <c r="D4" s="130" t="inlineStr">
        <is>
          <t>⚡⚡⚡ Ridicat</t>
        </is>
      </c>
      <c r="E4" s="131" t="inlineStr">
        <is>
          <t>3.7%</t>
        </is>
      </c>
      <c r="F4" s="131" t="inlineStr">
        <is>
          <t>3.8%</t>
        </is>
      </c>
      <c r="G4" s="27" t="inlineStr">
        <is>
          <t>3.9%</t>
        </is>
      </c>
      <c r="H4" s="130">
        <f>IFERROR(G4-F4,"")</f>
        <v/>
      </c>
      <c r="I4" s="16" t="inlineStr">
        <is>
          <t>Negativ</t>
        </is>
      </c>
      <c r="J4" s="137" t="inlineStr">
        <is>
          <t>USD, Bonds</t>
        </is>
      </c>
      <c r="K4" s="137" t="n"/>
    </row>
    <row r="5" ht="15" customHeight="1" s="113">
      <c r="A5" s="26" t="inlineStr">
        <is>
          <t>25.03.2026 15:00</t>
        </is>
      </c>
      <c r="B5" s="137" t="inlineStr">
        <is>
          <t>FOMC Minutes</t>
        </is>
      </c>
      <c r="C5" s="130" t="inlineStr">
        <is>
          <t>SUA</t>
        </is>
      </c>
      <c r="D5" s="130" t="inlineStr">
        <is>
          <t>⚡⚡⚡ Ridicat</t>
        </is>
      </c>
      <c r="E5" s="131" t="n"/>
      <c r="F5" s="131" t="n"/>
      <c r="G5" s="131" t="n"/>
      <c r="H5" s="130">
        <f>IFERROR(G5-F5,"")</f>
        <v/>
      </c>
      <c r="I5" s="16" t="n"/>
      <c r="J5" s="137" t="inlineStr">
        <is>
          <t>USD, Equities</t>
        </is>
      </c>
      <c r="K5" s="137" t="inlineStr">
        <is>
          <t>Asteptat</t>
        </is>
      </c>
    </row>
    <row r="6" ht="15" customHeight="1" s="113">
      <c r="A6" s="26" t="inlineStr">
        <is>
          <t>27.03.2026 10:00</t>
        </is>
      </c>
      <c r="B6" s="137" t="inlineStr">
        <is>
          <t>CPI YoY</t>
        </is>
      </c>
      <c r="C6" s="130" t="inlineStr">
        <is>
          <t>SUA</t>
        </is>
      </c>
      <c r="D6" s="130" t="inlineStr">
        <is>
          <t>⚡⚡⚡ Ridicat</t>
        </is>
      </c>
      <c r="E6" s="131" t="inlineStr">
        <is>
          <t>3.2%</t>
        </is>
      </c>
      <c r="F6" s="131" t="inlineStr">
        <is>
          <t>3.1%</t>
        </is>
      </c>
      <c r="G6" s="131" t="n"/>
      <c r="H6" s="130">
        <f>IFERROR(G6-F6,"")</f>
        <v/>
      </c>
      <c r="I6" s="16" t="n"/>
      <c r="J6" s="137" t="inlineStr">
        <is>
          <t>USD, Bonds, Gold</t>
        </is>
      </c>
      <c r="K6" s="137" t="n"/>
    </row>
    <row r="7" ht="15" customHeight="1" s="113">
      <c r="A7" s="26" t="inlineStr">
        <is>
          <t>29.03.2026 11:00</t>
        </is>
      </c>
      <c r="B7" s="137" t="inlineStr">
        <is>
          <t>ECB Rate Decision</t>
        </is>
      </c>
      <c r="C7" s="130" t="inlineStr">
        <is>
          <t>EUR</t>
        </is>
      </c>
      <c r="D7" s="130" t="inlineStr">
        <is>
          <t>⚡⚡⚡ Ridicat</t>
        </is>
      </c>
      <c r="E7" s="131" t="inlineStr">
        <is>
          <t>4.50%</t>
        </is>
      </c>
      <c r="F7" s="131" t="inlineStr">
        <is>
          <t>4.25%</t>
        </is>
      </c>
      <c r="G7" s="131" t="n"/>
      <c r="H7" s="130">
        <f>IFERROR(G7-F7,"")</f>
        <v/>
      </c>
      <c r="I7" s="16" t="n"/>
      <c r="J7" s="137" t="inlineStr">
        <is>
          <t>EUR/USD</t>
        </is>
      </c>
      <c r="K7" s="137" t="inlineStr">
        <is>
          <t>Prima taiere posibila</t>
        </is>
      </c>
    </row>
    <row r="8" ht="15" customHeight="1" s="113">
      <c r="A8" s="26" t="inlineStr">
        <is>
          <t>01.04.2026 10:00</t>
        </is>
      </c>
      <c r="B8" s="137" t="inlineStr">
        <is>
          <t>PMI Manufacturing</t>
        </is>
      </c>
      <c r="C8" s="130" t="inlineStr">
        <is>
          <t>SUA</t>
        </is>
      </c>
      <c r="D8" s="130" t="inlineStr">
        <is>
          <t>⚡⚡ Mediu</t>
        </is>
      </c>
      <c r="E8" s="131" t="inlineStr">
        <is>
          <t>50.3</t>
        </is>
      </c>
      <c r="F8" s="131" t="inlineStr">
        <is>
          <t>50.8</t>
        </is>
      </c>
      <c r="G8" s="131" t="n"/>
      <c r="H8" s="130">
        <f>IFERROR(G8-F8,"")</f>
        <v/>
      </c>
      <c r="I8" s="16" t="n"/>
      <c r="J8" s="137" t="inlineStr">
        <is>
          <t>USD, Equities</t>
        </is>
      </c>
      <c r="K8" s="137" t="n"/>
    </row>
    <row r="9" ht="15" customHeight="1" s="113">
      <c r="A9" s="26" t="inlineStr">
        <is>
          <t>03.04.2026 10:00</t>
        </is>
      </c>
      <c r="B9" s="137" t="inlineStr">
        <is>
          <t>Retail Sales MoM</t>
        </is>
      </c>
      <c r="C9" s="130" t="inlineStr">
        <is>
          <t>SUA</t>
        </is>
      </c>
      <c r="D9" s="130" t="inlineStr">
        <is>
          <t>⚡⚡ Mediu</t>
        </is>
      </c>
      <c r="E9" s="131" t="inlineStr">
        <is>
          <t>0.6%</t>
        </is>
      </c>
      <c r="F9" s="131" t="inlineStr">
        <is>
          <t>0.4%</t>
        </is>
      </c>
      <c r="G9" s="131" t="n"/>
      <c r="H9" s="130">
        <f>IFERROR(G9-F9,"")</f>
        <v/>
      </c>
      <c r="I9" s="16" t="n"/>
      <c r="J9" s="137" t="inlineStr">
        <is>
          <t>USD, Equities</t>
        </is>
      </c>
      <c r="K9" s="137" t="n"/>
    </row>
    <row r="10" ht="15" customHeight="1" s="113">
      <c r="A10" s="26" t="inlineStr">
        <is>
          <t>06.04.2026 14:30</t>
        </is>
      </c>
      <c r="B10" s="137" t="inlineStr">
        <is>
          <t>GDP QoQ (Prelim)</t>
        </is>
      </c>
      <c r="C10" s="130" t="inlineStr">
        <is>
          <t>SUA</t>
        </is>
      </c>
      <c r="D10" s="130" t="inlineStr">
        <is>
          <t>⚡⚡⚡ Ridicat</t>
        </is>
      </c>
      <c r="E10" s="131" t="inlineStr">
        <is>
          <t>2.8%</t>
        </is>
      </c>
      <c r="F10" s="131" t="inlineStr">
        <is>
          <t>2.4%</t>
        </is>
      </c>
      <c r="G10" s="131" t="n"/>
      <c r="H10" s="130">
        <f>IFERROR(G10-F10,"")</f>
        <v/>
      </c>
      <c r="I10" s="16" t="n"/>
      <c r="J10" s="137" t="inlineStr">
        <is>
          <t>USD, S&amp;P500</t>
        </is>
      </c>
      <c r="K10" s="137" t="inlineStr">
        <is>
          <t>Prima estimare</t>
        </is>
      </c>
    </row>
  </sheetData>
  <mergeCells count="1">
    <mergeCell ref="A1:L1"/>
  </mergeCells>
  <conditionalFormatting sqref="D3:D200">
    <cfRule type="cellIs" priority="2" operator="equal" dxfId="17">
      <formula>"⚡⚡⚡ Ridicat"</formula>
    </cfRule>
    <cfRule type="cellIs" priority="3" operator="equal" dxfId="0">
      <formula>"⚡⚡ Mediu"</formula>
    </cfRule>
    <cfRule type="cellIs" priority="4" operator="equal" dxfId="15">
      <formula>"⚡ Scăzut"</formula>
    </cfRule>
  </conditionalFormatting>
  <conditionalFormatting sqref="I3:I200">
    <cfRule type="cellIs" priority="5" operator="equal" dxfId="2">
      <formula>"Pozitiv"</formula>
    </cfRule>
    <cfRule type="cellIs" priority="6" operator="equal" dxfId="1">
      <formula>"Negativ"</formula>
    </cfRule>
    <cfRule type="cellIs" priority="7" operator="equal" dxfId="0">
      <formula>"Neutru"</formula>
    </cfRule>
  </conditionalFormatting>
  <dataValidations count="1">
    <dataValidation sqref="D3:D200" showDropDown="0" showInputMessage="0" showErrorMessage="0" allowBlank="1" type="list">
      <formula1>"⚡ Scăzut,⚡⚡ Mediu,⚡⚡⚡ Ridicat"</formula1>
      <formula2>0</formula2>
    </dataValidation>
  </dataValidations>
  <pageMargins left="0.75" right="0.75" top="1" bottom="1" header="0.511811023622047" footer="0.511811023622047"/>
  <pageSetup orientation="portrait" paperSize="9" scale="43" horizontalDpi="300" verticalDpi="300"/>
</worksheet>
</file>

<file path=xl/worksheets/sheet10.xml><?xml version="1.0" encoding="utf-8"?>
<worksheet xmlns="http://schemas.openxmlformats.org/spreadsheetml/2006/main">
  <sheetPr>
    <tabColor rgb="FF808080"/>
    <outlinePr summaryBelow="1" summaryRight="1"/>
    <pageSetUpPr/>
  </sheetPr>
  <dimension ref="A1:X34"/>
  <sheetViews>
    <sheetView view="pageBreakPreview" zoomScale="60" zoomScaleNormal="100" workbookViewId="0">
      <pane xSplit="3" ySplit="2" topLeftCell="D3" activePane="bottomRight" state="frozen"/>
      <selection pane="topRight" activeCell="D1" sqref="D1"/>
      <selection pane="bottomLeft" activeCell="A3" sqref="A3"/>
      <selection pane="bottomRight" activeCell="A1" sqref="A1:X1"/>
    </sheetView>
  </sheetViews>
  <sheetFormatPr baseColWidth="8" defaultColWidth="8.6328125" defaultRowHeight="14.5"/>
  <cols>
    <col width="8.26953125" bestFit="1" customWidth="1" style="113" min="1" max="1"/>
    <col width="12" customWidth="1" style="113" min="2" max="2"/>
    <col width="8" customWidth="1" style="113" min="3" max="3"/>
    <col width="12" customWidth="1" style="113" min="4" max="4"/>
    <col width="7" customWidth="1" style="113" min="5" max="5"/>
    <col width="14" customWidth="1" style="113" min="6" max="6"/>
    <col width="10" customWidth="1" style="113" min="7" max="12"/>
    <col width="12" customWidth="1" style="113" min="13" max="13"/>
    <col width="10" customWidth="1" style="113" min="14" max="14"/>
    <col width="9" bestFit="1" customWidth="1" style="113" min="15" max="15"/>
    <col width="10" customWidth="1" style="113" min="16" max="17"/>
    <col width="12" customWidth="1" style="113" min="18" max="18"/>
    <col width="14" customWidth="1" style="113" min="19" max="19"/>
    <col width="32" customWidth="1" style="113" min="20" max="20"/>
    <col width="15" customWidth="1" style="113" min="21" max="21"/>
  </cols>
  <sheetData>
    <row r="1" ht="34.5" customHeight="1" s="113">
      <c r="A1" s="155" t="inlineStr">
        <is>
          <t>📜 JURNAL TRANZACȚII — HEDGE FUND STYLE</t>
        </is>
      </c>
    </row>
    <row r="2" ht="23.25" customHeight="1" s="113">
      <c r="A2" s="143" t="inlineStr">
        <is>
          <t>ID</t>
        </is>
      </c>
      <c r="B2" s="143" t="inlineStr">
        <is>
          <t>Data</t>
        </is>
      </c>
      <c r="C2" s="143" t="inlineStr">
        <is>
          <t>Ora</t>
        </is>
      </c>
      <c r="D2" s="143" t="inlineStr">
        <is>
          <t>Activ</t>
        </is>
      </c>
      <c r="E2" s="143" t="inlineStr">
        <is>
          <t>L/S</t>
        </is>
      </c>
      <c r="F2" s="143" t="inlineStr">
        <is>
          <t>Setup</t>
        </is>
      </c>
      <c r="G2" s="143" t="inlineStr">
        <is>
          <t>Entry</t>
        </is>
      </c>
      <c r="H2" s="143" t="inlineStr">
        <is>
          <t>SL</t>
        </is>
      </c>
      <c r="I2" s="143" t="inlineStr">
        <is>
          <t>TP</t>
        </is>
      </c>
      <c r="J2" s="143" t="inlineStr">
        <is>
          <t>Mărime poz.</t>
        </is>
      </c>
      <c r="K2" s="143" t="inlineStr">
        <is>
          <t>Risc $</t>
        </is>
      </c>
      <c r="L2" s="143" t="inlineStr">
        <is>
          <t>Exit</t>
        </is>
      </c>
      <c r="M2" s="143" t="inlineStr">
        <is>
          <t>Data ieșire</t>
        </is>
      </c>
      <c r="N2" s="143" t="inlineStr">
        <is>
          <t>P&amp;L $</t>
        </is>
      </c>
      <c r="O2" s="143" t="inlineStr">
        <is>
          <t>P&amp;L %</t>
        </is>
      </c>
      <c r="P2" s="143" t="inlineStr">
        <is>
          <t>RR Realizat</t>
        </is>
      </c>
      <c r="Q2" s="143" t="inlineStr">
        <is>
          <t>Cal. exec (1-10)</t>
        </is>
      </c>
      <c r="R2" s="143" t="inlineStr">
        <is>
          <t>Emoție</t>
        </is>
      </c>
      <c r="S2" s="143" t="inlineStr">
        <is>
          <t>Plan respectat?</t>
        </is>
      </c>
      <c r="T2" s="143" t="inlineStr">
        <is>
          <t>Lecție</t>
        </is>
      </c>
      <c r="U2" s="143" t="inlineStr">
        <is>
          <t>Link/SS</t>
        </is>
      </c>
    </row>
    <row r="3" ht="23.25" customHeight="1" s="113">
      <c r="A3" s="19" t="inlineStr">
        <is>
          <t>T001</t>
        </is>
      </c>
      <c r="B3" s="8" t="inlineStr">
        <is>
          <t>01.03.2026</t>
        </is>
      </c>
      <c r="C3" s="8" t="inlineStr">
        <is>
          <t>09:35</t>
        </is>
      </c>
      <c r="D3" s="137" t="inlineStr">
        <is>
          <t>NVDA</t>
        </is>
      </c>
      <c r="E3" s="131" t="inlineStr">
        <is>
          <t>LONG</t>
        </is>
      </c>
      <c r="F3" s="10" t="inlineStr">
        <is>
          <t>Breakout</t>
        </is>
      </c>
      <c r="G3" s="14" t="n">
        <v>790</v>
      </c>
      <c r="H3" s="14" t="n">
        <v>760</v>
      </c>
      <c r="I3" s="14" t="n">
        <v>920</v>
      </c>
      <c r="J3" s="28" t="n">
        <v>100</v>
      </c>
      <c r="K3" s="28" t="n">
        <v>3000</v>
      </c>
      <c r="L3" s="14" t="n"/>
      <c r="M3" s="130" t="n"/>
      <c r="N3" s="161">
        <f>IFERROR((L3-G3)*J3,"")</f>
        <v/>
      </c>
      <c r="O3" s="162">
        <f>IFERROR((L3-G3)/G3,"")</f>
        <v/>
      </c>
      <c r="P3" s="11">
        <f>IFERROR((L3-G3)/(G3-H3),"")</f>
        <v/>
      </c>
      <c r="Q3" s="131" t="inlineStr">
        <is>
          <t>9</t>
        </is>
      </c>
      <c r="R3" s="131" t="inlineStr">
        <is>
          <t>Rece</t>
        </is>
      </c>
      <c r="S3" s="131" t="inlineStr">
        <is>
          <t>Da</t>
        </is>
      </c>
      <c r="T3" s="137" t="inlineStr">
        <is>
          <t>Entry la breakout confirmat cu volum</t>
        </is>
      </c>
      <c r="U3" s="137" t="n"/>
    </row>
    <row r="4" ht="23.25" customHeight="1" s="113">
      <c r="A4" s="19" t="inlineStr">
        <is>
          <t>T002</t>
        </is>
      </c>
      <c r="B4" s="8" t="inlineStr">
        <is>
          <t>08.03.2026</t>
        </is>
      </c>
      <c r="C4" s="8" t="inlineStr">
        <is>
          <t>14:20</t>
        </is>
      </c>
      <c r="D4" s="137" t="inlineStr">
        <is>
          <t>BTC/USD</t>
        </is>
      </c>
      <c r="E4" s="131" t="inlineStr">
        <is>
          <t>SHORT</t>
        </is>
      </c>
      <c r="F4" s="10" t="inlineStr">
        <is>
          <t>Reversion</t>
        </is>
      </c>
      <c r="G4" s="14" t="n">
        <v>68500</v>
      </c>
      <c r="H4" s="14" t="n">
        <v>72000</v>
      </c>
      <c r="I4" s="14" t="n">
        <v>61000</v>
      </c>
      <c r="J4" s="28" t="n">
        <v>0.5</v>
      </c>
      <c r="K4" s="28" t="n">
        <v>1750</v>
      </c>
      <c r="L4" s="14" t="n"/>
      <c r="M4" s="130" t="n"/>
      <c r="N4" s="161">
        <f>IFERROR((L4-G4)*J4,"")</f>
        <v/>
      </c>
      <c r="O4" s="162">
        <f>IFERROR((L4-G4)/G4,"")</f>
        <v/>
      </c>
      <c r="P4" s="11">
        <f>IFERROR((L4-G4)/(G4-H4),"")</f>
        <v/>
      </c>
      <c r="Q4" s="131" t="inlineStr">
        <is>
          <t>6</t>
        </is>
      </c>
      <c r="R4" s="131" t="inlineStr">
        <is>
          <t>Frică</t>
        </is>
      </c>
      <c r="S4" s="131" t="inlineStr">
        <is>
          <t>Parțial</t>
        </is>
      </c>
      <c r="T4" s="137" t="inlineStr">
        <is>
          <t>SL prea larg</t>
        </is>
      </c>
      <c r="U4" s="137" t="n"/>
    </row>
    <row r="5" ht="27.75" customHeight="1" s="113">
      <c r="A5" s="19" t="inlineStr">
        <is>
          <t>T003</t>
        </is>
      </c>
      <c r="B5" s="8" t="inlineStr">
        <is>
          <t>15.03.2026</t>
        </is>
      </c>
      <c r="C5" s="8" t="inlineStr">
        <is>
          <t>10:15</t>
        </is>
      </c>
      <c r="D5" s="137" t="inlineStr">
        <is>
          <t>Gold</t>
        </is>
      </c>
      <c r="E5" s="131" t="inlineStr">
        <is>
          <t>LONG</t>
        </is>
      </c>
      <c r="F5" s="10" t="inlineStr">
        <is>
          <t>Trend-Follow</t>
        </is>
      </c>
      <c r="G5" s="14" t="n">
        <v>2270</v>
      </c>
      <c r="H5" s="14" t="n">
        <v>2240</v>
      </c>
      <c r="I5" s="14" t="n">
        <v>2390</v>
      </c>
      <c r="J5" s="28" t="n">
        <v>2</v>
      </c>
      <c r="K5" s="28" t="n">
        <v>2700</v>
      </c>
      <c r="L5" s="14" t="inlineStr">
        <is>
          <t>20.03.2026</t>
        </is>
      </c>
      <c r="M5" s="130" t="n"/>
      <c r="N5" s="161">
        <f>IFERROR((L5-G5)*J5,"")</f>
        <v/>
      </c>
      <c r="O5" s="162">
        <f>IFERROR((L5-G5)/G5,"")</f>
        <v/>
      </c>
      <c r="P5" s="11">
        <f>IFERROR((L5-G5)/(G5-H5),"")</f>
        <v/>
      </c>
      <c r="Q5" s="131" t="inlineStr">
        <is>
          <t>8</t>
        </is>
      </c>
      <c r="R5" s="131" t="inlineStr">
        <is>
          <t>Rece</t>
        </is>
      </c>
      <c r="S5" s="131" t="inlineStr">
        <is>
          <t>Da</t>
        </is>
      </c>
      <c r="T5" s="137" t="inlineStr">
        <is>
          <t>TP atins — pastrat disciplina</t>
        </is>
      </c>
      <c r="U5" s="137" t="n"/>
    </row>
    <row r="6" ht="23.25" customHeight="1" s="113">
      <c r="A6" s="19" t="inlineStr">
        <is>
          <t>T004</t>
        </is>
      </c>
      <c r="B6" s="8" t="inlineStr">
        <is>
          <t>19.03.2026</t>
        </is>
      </c>
      <c r="C6" s="8" t="inlineStr">
        <is>
          <t>11:00</t>
        </is>
      </c>
      <c r="D6" s="137" t="inlineStr">
        <is>
          <t>SPY</t>
        </is>
      </c>
      <c r="E6" s="131" t="inlineStr">
        <is>
          <t>LONG</t>
        </is>
      </c>
      <c r="F6" s="10" t="inlineStr">
        <is>
          <t>Pullback</t>
        </is>
      </c>
      <c r="G6" s="14" t="n">
        <v>515</v>
      </c>
      <c r="H6" s="14" t="n">
        <v>510</v>
      </c>
      <c r="I6" s="14" t="n">
        <v>530</v>
      </c>
      <c r="J6" s="28" t="n">
        <v>10</v>
      </c>
      <c r="K6" s="28" t="n">
        <v>500</v>
      </c>
      <c r="L6" s="14" t="n"/>
      <c r="M6" s="130" t="n"/>
      <c r="N6" s="161">
        <f>IFERROR((L6-G6)*J6,"")</f>
        <v/>
      </c>
      <c r="O6" s="162">
        <f>IFERROR((L6-G6)/G6,"")</f>
        <v/>
      </c>
      <c r="P6" s="11">
        <f>IFERROR((L6-G6)/(G6-H6),"")</f>
        <v/>
      </c>
      <c r="Q6" s="131" t="inlineStr">
        <is>
          <t>7</t>
        </is>
      </c>
      <c r="R6" s="131" t="inlineStr">
        <is>
          <t>Disciplinat</t>
        </is>
      </c>
      <c r="S6" s="131" t="inlineStr">
        <is>
          <t>Da</t>
        </is>
      </c>
      <c r="T6" s="137" t="inlineStr">
        <is>
          <t>Open trade</t>
        </is>
      </c>
      <c r="U6" s="137" t="n"/>
    </row>
    <row r="25" ht="21.75" customHeight="1" s="113">
      <c r="A25" s="160" t="inlineStr">
        <is>
          <t>📊 STATISTICI AUTOMATE PORTOFOLIU</t>
        </is>
      </c>
    </row>
    <row r="26" ht="15" customHeight="1" s="113">
      <c r="A26" s="143" t="inlineStr">
        <is>
          <t>Metric</t>
        </is>
      </c>
      <c r="B26" s="143" t="inlineStr">
        <is>
          <t>Valoare</t>
        </is>
      </c>
      <c r="C26" s="126" t="n"/>
      <c r="D26" s="127" t="n"/>
    </row>
    <row r="27" ht="45.75" customHeight="1" s="113">
      <c r="A27" s="2" t="inlineStr">
        <is>
          <t>Nr. total tranzacții</t>
        </is>
      </c>
      <c r="B27" s="163">
        <f>COUNTA(A3:A22)</f>
        <v/>
      </c>
      <c r="C27" s="126" t="n"/>
      <c r="D27" s="127" t="n"/>
    </row>
    <row r="28" ht="34.5" customHeight="1" s="113">
      <c r="A28" s="2" t="inlineStr">
        <is>
          <t>Win Rate (%)</t>
        </is>
      </c>
      <c r="B28" s="162">
        <f>IFERROR(COUNTIF(N3:N22,"&gt;0")/COUNTA(N3:N22),0)</f>
        <v/>
      </c>
      <c r="C28" s="126" t="n"/>
      <c r="D28" s="127" t="n"/>
    </row>
    <row r="29" ht="34.5" customHeight="1" s="113">
      <c r="A29" s="2" t="inlineStr">
        <is>
          <t>P&amp;L Total ($)</t>
        </is>
      </c>
      <c r="B29" s="161">
        <f>IFERROR(SUM(N3:N22),0)</f>
        <v/>
      </c>
      <c r="C29" s="126" t="n"/>
      <c r="D29" s="127" t="n"/>
    </row>
    <row r="30" ht="45.75" customHeight="1" s="113">
      <c r="A30" s="2" t="inlineStr">
        <is>
          <t>P&amp;L Medie / trade ($)</t>
        </is>
      </c>
      <c r="B30" s="161">
        <f>IFERROR(AVERAGE(N3:N22),0)</f>
        <v/>
      </c>
      <c r="C30" s="126" t="n"/>
      <c r="D30" s="127" t="n"/>
    </row>
    <row r="31" ht="45.75" customHeight="1" s="113">
      <c r="A31" s="2" t="inlineStr">
        <is>
          <t>RR Mediu realizat</t>
        </is>
      </c>
      <c r="B31" s="163">
        <f>IFERROR(AVERAGE(P3:P22),0)</f>
        <v/>
      </c>
      <c r="C31" s="126" t="n"/>
      <c r="D31" s="127" t="n"/>
    </row>
    <row r="32" ht="34.5" customHeight="1" s="113">
      <c r="A32" s="2" t="inlineStr">
        <is>
          <t>Best trade ($)</t>
        </is>
      </c>
      <c r="B32" s="161">
        <f>IFERROR(MAX(N3:N22),0)</f>
        <v/>
      </c>
      <c r="C32" s="126" t="n"/>
      <c r="D32" s="127" t="n"/>
    </row>
    <row r="33" ht="34.5" customHeight="1" s="113">
      <c r="A33" s="2" t="inlineStr">
        <is>
          <t>Worst trade ($)</t>
        </is>
      </c>
      <c r="B33" s="161">
        <f>IFERROR(MIN(N3:N22),0)</f>
        <v/>
      </c>
      <c r="C33" s="126" t="n"/>
      <c r="D33" s="127" t="n"/>
    </row>
    <row r="34" ht="45.75" customHeight="1" s="113">
      <c r="A34" s="2" t="inlineStr">
        <is>
          <t>Calitate medie exec</t>
        </is>
      </c>
      <c r="B34" s="163">
        <f>IFERROR(AVERAGE(Q3:Q22),0)</f>
        <v/>
      </c>
      <c r="C34" s="126" t="n"/>
      <c r="D34" s="127" t="n"/>
    </row>
  </sheetData>
  <mergeCells count="11">
    <mergeCell ref="B33:D33"/>
    <mergeCell ref="B28:D28"/>
    <mergeCell ref="B31:D31"/>
    <mergeCell ref="B32:D32"/>
    <mergeCell ref="B26:D26"/>
    <mergeCell ref="B27:D27"/>
    <mergeCell ref="B30:D30"/>
    <mergeCell ref="A1:X1"/>
    <mergeCell ref="B29:D29"/>
    <mergeCell ref="A25:J25"/>
    <mergeCell ref="B34:D34"/>
  </mergeCells>
  <conditionalFormatting sqref="B29:B35">
    <cfRule type="cellIs" priority="8" operator="greaterThan" dxfId="2">
      <formula>0</formula>
    </cfRule>
    <cfRule type="cellIs" priority="9" operator="lessThan" dxfId="1">
      <formula>0</formula>
    </cfRule>
  </conditionalFormatting>
  <conditionalFormatting sqref="E3:E500">
    <cfRule type="cellIs" priority="6" operator="equal" dxfId="2">
      <formula>"LONG"</formula>
    </cfRule>
    <cfRule type="cellIs" priority="7" operator="equal" dxfId="1">
      <formula>"SHORT"</formula>
    </cfRule>
  </conditionalFormatting>
  <conditionalFormatting sqref="N3:O500">
    <cfRule type="cellIs" priority="2" operator="greaterThan" dxfId="2">
      <formula>0</formula>
    </cfRule>
    <cfRule type="cellIs" priority="3" operator="lessThan" dxfId="1">
      <formula>0</formula>
    </cfRule>
  </conditionalFormatting>
  <dataValidations count="4">
    <dataValidation sqref="E3:E500" showDropDown="0" showInputMessage="0" showErrorMessage="0" allowBlank="1" type="list">
      <formula1>"LONG,SHORT"</formula1>
      <formula2>0</formula2>
    </dataValidation>
    <dataValidation sqref="F3:F500" showDropDown="0" showInputMessage="0" showErrorMessage="0" allowBlank="1" type="list">
      <formula1>"Breakout,Pullback,Reversion,Trend-Follow,Range,Scalp"</formula1>
      <formula2>0</formula2>
    </dataValidation>
    <dataValidation sqref="R3:R500" showDropDown="0" showInputMessage="0" showErrorMessage="0" allowBlank="1" type="list">
      <formula1>"Rece,Grăbit,Frică,Lacom,Frustrat,Disciplinat"</formula1>
      <formula2>0</formula2>
    </dataValidation>
    <dataValidation sqref="S3:S500" showDropDown="0" showInputMessage="0" showErrorMessage="0" allowBlank="1" type="list">
      <formula1>"Da,Nu,Parțial"</formula1>
      <formula2>0</formula2>
    </dataValidation>
  </dataValidations>
  <pageMargins left="0.75" right="0.75" top="1" bottom="1" header="0.511811023622047" footer="0.511811023622047"/>
  <pageSetup orientation="portrait" paperSize="9" scale="32" horizontalDpi="300" verticalDpi="300"/>
</worksheet>
</file>

<file path=xl/worksheets/sheet11.xml><?xml version="1.0" encoding="utf-8"?>
<worksheet xmlns="http://schemas.openxmlformats.org/spreadsheetml/2006/main">
  <sheetPr>
    <tabColor rgb="FF808080"/>
    <outlinePr summaryBelow="1" summaryRight="1"/>
    <pageSetUpPr/>
  </sheetPr>
  <dimension ref="A1:Q26"/>
  <sheetViews>
    <sheetView view="pageBreakPreview" zoomScale="60" zoomScaleNormal="100" workbookViewId="0">
      <pane xSplit="1" ySplit="2" topLeftCell="B3" activePane="bottomRight" state="frozen"/>
      <selection pane="topRight" activeCell="B1" sqref="B1"/>
      <selection pane="bottomLeft" activeCell="A3" sqref="A3"/>
      <selection pane="bottomRight" activeCell="J26" sqref="J26"/>
    </sheetView>
  </sheetViews>
  <sheetFormatPr baseColWidth="8" defaultColWidth="8.6328125" defaultRowHeight="14.5"/>
  <cols>
    <col width="12" customWidth="1" style="113" min="1" max="1"/>
    <col width="8" customWidth="1" style="113" min="2" max="2"/>
    <col width="12" customWidth="1" style="113" min="3" max="4"/>
    <col width="8" customWidth="1" style="113" min="5" max="7"/>
    <col width="10" customWidth="1" style="113" min="8" max="8"/>
    <col width="12" customWidth="1" style="113" min="9" max="10"/>
    <col width="10" customWidth="1" style="113" min="11" max="16"/>
    <col width="20" customWidth="1" style="113" min="17" max="17"/>
  </cols>
  <sheetData>
    <row r="1" ht="34.5" customHeight="1" s="113">
      <c r="A1" s="155" t="inlineStr">
        <is>
          <t>🕰 ISTORIC &amp; TRENDING — SNAPSHOT LUNAR 24 LUNI</t>
        </is>
      </c>
    </row>
    <row r="2" ht="23.25" customHeight="1" s="113">
      <c r="A2" s="143" t="inlineStr">
        <is>
          <t>Luna/An</t>
        </is>
      </c>
      <c r="B2" s="143" t="inlineStr">
        <is>
          <t>RSI Medie</t>
        </is>
      </c>
      <c r="C2" s="143" t="inlineStr">
        <is>
          <t>MACD Signal</t>
        </is>
      </c>
      <c r="D2" s="143" t="inlineStr">
        <is>
          <t>Preț S&amp;P500</t>
        </is>
      </c>
      <c r="E2" s="143" t="inlineStr">
        <is>
          <t>PIB YoY</t>
        </is>
      </c>
      <c r="F2" s="143" t="inlineStr">
        <is>
          <t>CPI</t>
        </is>
      </c>
      <c r="G2" s="143" t="inlineStr">
        <is>
          <t>VIX</t>
        </is>
      </c>
      <c r="H2" s="143" t="inlineStr">
        <is>
          <t>Semnal luna</t>
        </is>
      </c>
      <c r="I2" s="143" t="inlineStr">
        <is>
          <t>Vol. Mediu (B)</t>
        </is>
      </c>
      <c r="J2" s="143" t="inlineStr">
        <is>
          <t>Trend dominnt</t>
        </is>
      </c>
      <c r="K2" s="143" t="inlineStr">
        <is>
          <t>Fear&amp;Greed</t>
        </is>
      </c>
      <c r="L2" s="143" t="inlineStr">
        <is>
          <t>Rate Dobanda</t>
        </is>
      </c>
      <c r="M2" s="143" t="inlineStr">
        <is>
          <t>Yield 10Y</t>
        </is>
      </c>
      <c r="N2" s="143" t="inlineStr">
        <is>
          <t>Gold</t>
        </is>
      </c>
      <c r="O2" s="143" t="inlineStr">
        <is>
          <t>Oil WTI</t>
        </is>
      </c>
      <c r="P2" s="143" t="inlineStr">
        <is>
          <t>EUR/USD</t>
        </is>
      </c>
      <c r="Q2" s="143" t="inlineStr">
        <is>
          <t>Note</t>
        </is>
      </c>
    </row>
    <row r="3" ht="15" customHeight="1" s="113">
      <c r="A3" s="26" t="inlineStr">
        <is>
          <t>Apr 2024</t>
        </is>
      </c>
      <c r="B3" s="29" t="n">
        <v>38</v>
      </c>
      <c r="C3" s="8" t="inlineStr">
        <is>
          <t>Neutru</t>
        </is>
      </c>
      <c r="D3" s="13" t="n">
        <v>4200</v>
      </c>
      <c r="E3" s="8" t="n">
        <v>2</v>
      </c>
      <c r="F3" s="29" t="n">
        <v>8.1</v>
      </c>
      <c r="G3" s="29" t="n">
        <v>28</v>
      </c>
      <c r="H3" s="131" t="inlineStr">
        <is>
          <t>WAIT</t>
        </is>
      </c>
      <c r="I3" s="29" t="n">
        <v>3.2</v>
      </c>
      <c r="J3" s="8" t="inlineStr">
        <is>
          <t>Sideways</t>
        </is>
      </c>
      <c r="K3" s="29" t="n">
        <v>35</v>
      </c>
      <c r="L3" s="29" t="n">
        <v>4.5</v>
      </c>
      <c r="M3" s="29" t="n">
        <v>4.5</v>
      </c>
      <c r="N3" s="8" t="n">
        <v>1850</v>
      </c>
      <c r="O3" s="8" t="n">
        <v>75</v>
      </c>
      <c r="P3" s="8" t="n">
        <v>1.05</v>
      </c>
      <c r="Q3" s="8" t="n"/>
    </row>
    <row r="4" ht="15" customHeight="1" s="113">
      <c r="A4" s="26" t="inlineStr">
        <is>
          <t>May 2024</t>
        </is>
      </c>
      <c r="B4" s="29" t="n">
        <v>42</v>
      </c>
      <c r="C4" s="8" t="inlineStr">
        <is>
          <t>Neutru</t>
        </is>
      </c>
      <c r="D4" s="13" t="n">
        <v>4350</v>
      </c>
      <c r="E4" s="8" t="n">
        <v>2</v>
      </c>
      <c r="F4" s="29" t="n">
        <v>7.8</v>
      </c>
      <c r="G4" s="29" t="n">
        <v>25</v>
      </c>
      <c r="H4" s="131" t="inlineStr">
        <is>
          <t>WAIT</t>
        </is>
      </c>
      <c r="I4" s="29" t="n">
        <v>3.3</v>
      </c>
      <c r="J4" s="8" t="inlineStr">
        <is>
          <t>Sideways</t>
        </is>
      </c>
      <c r="K4" s="29" t="n">
        <v>36.5</v>
      </c>
      <c r="L4" s="29" t="n">
        <v>4.45</v>
      </c>
      <c r="M4" s="29" t="n">
        <v>4.46</v>
      </c>
      <c r="N4" s="8" t="n">
        <v>1865</v>
      </c>
      <c r="O4" s="8" t="n">
        <v>75.15000000000001</v>
      </c>
      <c r="P4" s="8" t="n">
        <v>1.051</v>
      </c>
      <c r="Q4" s="8" t="n"/>
    </row>
    <row r="5" ht="15" customHeight="1" s="113">
      <c r="A5" s="26" t="inlineStr">
        <is>
          <t>Jun 2024</t>
        </is>
      </c>
      <c r="B5" s="29" t="n">
        <v>45</v>
      </c>
      <c r="C5" s="8" t="inlineStr">
        <is>
          <t>Neutru</t>
        </is>
      </c>
      <c r="D5" s="13" t="n">
        <v>4480</v>
      </c>
      <c r="E5" s="8" t="n">
        <v>2.1</v>
      </c>
      <c r="F5" s="29" t="n">
        <v>7.3</v>
      </c>
      <c r="G5" s="29" t="n">
        <v>23</v>
      </c>
      <c r="H5" s="131" t="inlineStr">
        <is>
          <t>WAIT</t>
        </is>
      </c>
      <c r="I5" s="29" t="n">
        <v>3.4</v>
      </c>
      <c r="J5" s="8" t="inlineStr">
        <is>
          <t>Sideways</t>
        </is>
      </c>
      <c r="K5" s="29" t="n">
        <v>38</v>
      </c>
      <c r="L5" s="29" t="n">
        <v>4.4</v>
      </c>
      <c r="M5" s="29" t="n">
        <v>4.42</v>
      </c>
      <c r="N5" s="8" t="n">
        <v>1880</v>
      </c>
      <c r="O5" s="8" t="n">
        <v>75.3</v>
      </c>
      <c r="P5" s="8" t="n">
        <v>1.052</v>
      </c>
      <c r="Q5" s="8" t="n"/>
    </row>
    <row r="6" ht="15" customHeight="1" s="113">
      <c r="A6" s="26" t="inlineStr">
        <is>
          <t>Jul 2024</t>
        </is>
      </c>
      <c r="B6" s="29" t="n">
        <v>50</v>
      </c>
      <c r="C6" s="8" t="inlineStr">
        <is>
          <t>Neutru</t>
        </is>
      </c>
      <c r="D6" s="13" t="n">
        <v>4600</v>
      </c>
      <c r="E6" s="8" t="n">
        <v>2.1</v>
      </c>
      <c r="F6" s="29" t="n">
        <v>7</v>
      </c>
      <c r="G6" s="29" t="n">
        <v>21</v>
      </c>
      <c r="H6" s="131" t="inlineStr">
        <is>
          <t>WAIT</t>
        </is>
      </c>
      <c r="I6" s="29" t="n">
        <v>3.5</v>
      </c>
      <c r="J6" s="8" t="inlineStr">
        <is>
          <t>Sideways</t>
        </is>
      </c>
      <c r="K6" s="29" t="n">
        <v>39.5</v>
      </c>
      <c r="L6" s="29" t="n">
        <v>4.35</v>
      </c>
      <c r="M6" s="29" t="n">
        <v>4.38</v>
      </c>
      <c r="N6" s="8" t="n">
        <v>1895</v>
      </c>
      <c r="O6" s="8" t="n">
        <v>75.45</v>
      </c>
      <c r="P6" s="8" t="n">
        <v>1.053</v>
      </c>
      <c r="Q6" s="8" t="n"/>
    </row>
    <row r="7" ht="15" customHeight="1" s="113">
      <c r="A7" s="26" t="inlineStr">
        <is>
          <t>Aug 2024</t>
        </is>
      </c>
      <c r="B7" s="29" t="n">
        <v>55</v>
      </c>
      <c r="C7" s="8" t="inlineStr">
        <is>
          <t>Bullish</t>
        </is>
      </c>
      <c r="D7" s="13" t="n">
        <v>4720</v>
      </c>
      <c r="E7" s="8" t="n">
        <v>2.2</v>
      </c>
      <c r="F7" s="29" t="n">
        <v>6.6</v>
      </c>
      <c r="G7" s="29" t="n">
        <v>19</v>
      </c>
      <c r="H7" s="131" t="inlineStr">
        <is>
          <t>BUY</t>
        </is>
      </c>
      <c r="I7" s="29" t="n">
        <v>3.6</v>
      </c>
      <c r="J7" s="8" t="inlineStr">
        <is>
          <t>Bullish</t>
        </is>
      </c>
      <c r="K7" s="29" t="n">
        <v>41</v>
      </c>
      <c r="L7" s="29" t="n">
        <v>4.3</v>
      </c>
      <c r="M7" s="29" t="n">
        <v>4.34</v>
      </c>
      <c r="N7" s="8" t="n">
        <v>1910</v>
      </c>
      <c r="O7" s="8" t="n">
        <v>75.59999999999999</v>
      </c>
      <c r="P7" s="8" t="n">
        <v>1.054</v>
      </c>
      <c r="Q7" s="8" t="n"/>
    </row>
    <row r="8" ht="15" customHeight="1" s="113">
      <c r="A8" s="26" t="inlineStr">
        <is>
          <t>Sep 2024</t>
        </is>
      </c>
      <c r="B8" s="29" t="n">
        <v>58</v>
      </c>
      <c r="C8" s="8" t="inlineStr">
        <is>
          <t>Bullish</t>
        </is>
      </c>
      <c r="D8" s="13" t="n">
        <v>4850</v>
      </c>
      <c r="E8" s="8" t="n">
        <v>2.2</v>
      </c>
      <c r="F8" s="29" t="n">
        <v>6.5</v>
      </c>
      <c r="G8" s="29" t="n">
        <v>18</v>
      </c>
      <c r="H8" s="131" t="inlineStr">
        <is>
          <t>BUY</t>
        </is>
      </c>
      <c r="I8" s="29" t="n">
        <v>3.7</v>
      </c>
      <c r="J8" s="8" t="inlineStr">
        <is>
          <t>Bullish</t>
        </is>
      </c>
      <c r="K8" s="29" t="n">
        <v>42.5</v>
      </c>
      <c r="L8" s="29" t="n">
        <v>4.25</v>
      </c>
      <c r="M8" s="29" t="n">
        <v>4.3</v>
      </c>
      <c r="N8" s="8" t="n">
        <v>1925</v>
      </c>
      <c r="O8" s="8" t="n">
        <v>75.75</v>
      </c>
      <c r="P8" s="8" t="n">
        <v>1.055</v>
      </c>
      <c r="Q8" s="8" t="n"/>
    </row>
    <row r="9" ht="15" customHeight="1" s="113">
      <c r="A9" s="26" t="inlineStr">
        <is>
          <t>Oct 2024</t>
        </is>
      </c>
      <c r="B9" s="29" t="n">
        <v>52</v>
      </c>
      <c r="C9" s="8" t="inlineStr">
        <is>
          <t>Neutru</t>
        </is>
      </c>
      <c r="D9" s="13" t="n">
        <v>4780</v>
      </c>
      <c r="E9" s="8" t="n">
        <v>2.3</v>
      </c>
      <c r="F9" s="29" t="n">
        <v>6.2</v>
      </c>
      <c r="G9" s="29" t="n">
        <v>20</v>
      </c>
      <c r="H9" s="131" t="inlineStr">
        <is>
          <t>WAIT</t>
        </is>
      </c>
      <c r="I9" s="29" t="n">
        <v>3.8</v>
      </c>
      <c r="J9" s="8" t="inlineStr">
        <is>
          <t>Sideways</t>
        </is>
      </c>
      <c r="K9" s="29" t="n">
        <v>44</v>
      </c>
      <c r="L9" s="29" t="n">
        <v>4.2</v>
      </c>
      <c r="M9" s="29" t="n">
        <v>4.26</v>
      </c>
      <c r="N9" s="8" t="n">
        <v>1940</v>
      </c>
      <c r="O9" s="8" t="n">
        <v>75.90000000000001</v>
      </c>
      <c r="P9" s="8" t="n">
        <v>1.056</v>
      </c>
      <c r="Q9" s="8" t="n"/>
    </row>
    <row r="10" ht="15" customHeight="1" s="113">
      <c r="A10" s="26" t="inlineStr">
        <is>
          <t>Nov 2024</t>
        </is>
      </c>
      <c r="B10" s="29" t="n">
        <v>48</v>
      </c>
      <c r="C10" s="8" t="inlineStr">
        <is>
          <t>Neutru</t>
        </is>
      </c>
      <c r="D10" s="13" t="n">
        <v>4650</v>
      </c>
      <c r="E10" s="8" t="n">
        <v>2.4</v>
      </c>
      <c r="F10" s="29" t="n">
        <v>5.9</v>
      </c>
      <c r="G10" s="29" t="n">
        <v>24</v>
      </c>
      <c r="H10" s="131" t="inlineStr">
        <is>
          <t>WAIT</t>
        </is>
      </c>
      <c r="I10" s="29" t="n">
        <v>3.9</v>
      </c>
      <c r="J10" s="8" t="inlineStr">
        <is>
          <t>Sideways</t>
        </is>
      </c>
      <c r="K10" s="29" t="n">
        <v>45.5</v>
      </c>
      <c r="L10" s="29" t="n">
        <v>4.15</v>
      </c>
      <c r="M10" s="29" t="n">
        <v>4.22</v>
      </c>
      <c r="N10" s="8" t="n">
        <v>1955</v>
      </c>
      <c r="O10" s="8" t="n">
        <v>76.05</v>
      </c>
      <c r="P10" s="8" t="n">
        <v>1.057</v>
      </c>
      <c r="Q10" s="8" t="n"/>
    </row>
    <row r="11" ht="15" customHeight="1" s="113">
      <c r="A11" s="26" t="inlineStr">
        <is>
          <t>Dec 2024</t>
        </is>
      </c>
      <c r="B11" s="29" t="n">
        <v>44</v>
      </c>
      <c r="C11" s="8" t="inlineStr">
        <is>
          <t>Neutru</t>
        </is>
      </c>
      <c r="D11" s="13" t="n">
        <v>4800</v>
      </c>
      <c r="E11" s="8" t="n">
        <v>2.4</v>
      </c>
      <c r="F11" s="29" t="n">
        <v>5.5</v>
      </c>
      <c r="G11" s="29" t="n">
        <v>22</v>
      </c>
      <c r="H11" s="131" t="inlineStr">
        <is>
          <t>WAIT</t>
        </is>
      </c>
      <c r="I11" s="29" t="n">
        <v>4</v>
      </c>
      <c r="J11" s="8" t="inlineStr">
        <is>
          <t>Sideways</t>
        </is>
      </c>
      <c r="K11" s="29" t="n">
        <v>47</v>
      </c>
      <c r="L11" s="29" t="n">
        <v>4.1</v>
      </c>
      <c r="M11" s="29" t="n">
        <v>4.18</v>
      </c>
      <c r="N11" s="8" t="n">
        <v>1970</v>
      </c>
      <c r="O11" s="8" t="n">
        <v>76.2</v>
      </c>
      <c r="P11" s="8" t="n">
        <v>1.058</v>
      </c>
      <c r="Q11" s="8" t="n"/>
    </row>
    <row r="12" ht="15" customHeight="1" s="113">
      <c r="A12" s="26" t="inlineStr">
        <is>
          <t>Jan 2025</t>
        </is>
      </c>
      <c r="B12" s="29" t="n">
        <v>50</v>
      </c>
      <c r="C12" s="8" t="inlineStr">
        <is>
          <t>Bullish</t>
        </is>
      </c>
      <c r="D12" s="13" t="n">
        <v>4950</v>
      </c>
      <c r="E12" s="8" t="n">
        <v>2.5</v>
      </c>
      <c r="F12" s="29" t="n">
        <v>5.1</v>
      </c>
      <c r="G12" s="29" t="n">
        <v>19</v>
      </c>
      <c r="H12" s="131" t="inlineStr">
        <is>
          <t>BUY</t>
        </is>
      </c>
      <c r="I12" s="29" t="n">
        <v>4.1</v>
      </c>
      <c r="J12" s="8" t="inlineStr">
        <is>
          <t>Bullish</t>
        </is>
      </c>
      <c r="K12" s="29" t="n">
        <v>48.5</v>
      </c>
      <c r="L12" s="29" t="n">
        <v>4.05</v>
      </c>
      <c r="M12" s="29" t="n">
        <v>4.14</v>
      </c>
      <c r="N12" s="8" t="n">
        <v>1985</v>
      </c>
      <c r="O12" s="8" t="n">
        <v>76.34999999999999</v>
      </c>
      <c r="P12" s="8" t="n">
        <v>1.059</v>
      </c>
      <c r="Q12" s="8" t="n"/>
    </row>
    <row r="13" ht="15" customHeight="1" s="113">
      <c r="A13" s="26" t="inlineStr">
        <is>
          <t>Feb 2025</t>
        </is>
      </c>
      <c r="B13" s="29" t="n">
        <v>55</v>
      </c>
      <c r="C13" s="8" t="inlineStr">
        <is>
          <t>Bullish</t>
        </is>
      </c>
      <c r="D13" s="13" t="n">
        <v>5050</v>
      </c>
      <c r="E13" s="8" t="n">
        <v>2.5</v>
      </c>
      <c r="F13" s="29" t="n">
        <v>4.9</v>
      </c>
      <c r="G13" s="29" t="n">
        <v>17</v>
      </c>
      <c r="H13" s="131" t="inlineStr">
        <is>
          <t>BUY</t>
        </is>
      </c>
      <c r="I13" s="29" t="n">
        <v>4.2</v>
      </c>
      <c r="J13" s="8" t="inlineStr">
        <is>
          <t>Bullish</t>
        </is>
      </c>
      <c r="K13" s="29" t="n">
        <v>50</v>
      </c>
      <c r="L13" s="29" t="n">
        <v>4</v>
      </c>
      <c r="M13" s="29" t="n">
        <v>4.1</v>
      </c>
      <c r="N13" s="8" t="n">
        <v>2000</v>
      </c>
      <c r="O13" s="8" t="n">
        <v>76.5</v>
      </c>
      <c r="P13" s="8" t="n">
        <v>1.06</v>
      </c>
      <c r="Q13" s="8" t="n"/>
    </row>
    <row r="14" ht="15" customHeight="1" s="113">
      <c r="A14" s="26" t="inlineStr">
        <is>
          <t>Mar 2025</t>
        </is>
      </c>
      <c r="B14" s="29" t="n">
        <v>60</v>
      </c>
      <c r="C14" s="8" t="inlineStr">
        <is>
          <t>Bullish</t>
        </is>
      </c>
      <c r="D14" s="13" t="n">
        <v>5100</v>
      </c>
      <c r="E14" s="8" t="n">
        <v>2.5</v>
      </c>
      <c r="F14" s="29" t="n">
        <v>4.5</v>
      </c>
      <c r="G14" s="29" t="n">
        <v>15</v>
      </c>
      <c r="H14" s="131" t="inlineStr">
        <is>
          <t>BUY</t>
        </is>
      </c>
      <c r="I14" s="29" t="n">
        <v>4.3</v>
      </c>
      <c r="J14" s="8" t="inlineStr">
        <is>
          <t>Bullish</t>
        </is>
      </c>
      <c r="K14" s="29" t="n">
        <v>51.5</v>
      </c>
      <c r="L14" s="29" t="n">
        <v>3.95</v>
      </c>
      <c r="M14" s="29" t="n">
        <v>4.06</v>
      </c>
      <c r="N14" s="8" t="n">
        <v>2015</v>
      </c>
      <c r="O14" s="8" t="n">
        <v>76.65000000000001</v>
      </c>
      <c r="P14" s="8" t="n">
        <v>1.061</v>
      </c>
      <c r="Q14" s="8" t="n"/>
    </row>
    <row r="15" ht="15" customHeight="1" s="113">
      <c r="A15" s="26" t="inlineStr">
        <is>
          <t>Apr 2025</t>
        </is>
      </c>
      <c r="B15" s="29" t="n">
        <v>58</v>
      </c>
      <c r="C15" s="8" t="inlineStr">
        <is>
          <t>Neutru</t>
        </is>
      </c>
      <c r="D15" s="13" t="n">
        <v>5050</v>
      </c>
      <c r="E15" s="8" t="n">
        <v>2.6</v>
      </c>
      <c r="F15" s="29" t="n">
        <v>4.2</v>
      </c>
      <c r="G15" s="29" t="n">
        <v>16</v>
      </c>
      <c r="H15" s="131" t="inlineStr">
        <is>
          <t>WAIT</t>
        </is>
      </c>
      <c r="I15" s="29" t="n">
        <v>4.4</v>
      </c>
      <c r="J15" s="8" t="inlineStr">
        <is>
          <t>Sideways</t>
        </is>
      </c>
      <c r="K15" s="29" t="n">
        <v>53</v>
      </c>
      <c r="L15" s="29" t="n">
        <v>3.9</v>
      </c>
      <c r="M15" s="29" t="n">
        <v>4.02</v>
      </c>
      <c r="N15" s="8" t="n">
        <v>2030</v>
      </c>
      <c r="O15" s="8" t="n">
        <v>76.8</v>
      </c>
      <c r="P15" s="8" t="n">
        <v>1.062</v>
      </c>
      <c r="Q15" s="8" t="n"/>
    </row>
    <row r="16" ht="15" customHeight="1" s="113">
      <c r="A16" s="26" t="inlineStr">
        <is>
          <t>May 2025</t>
        </is>
      </c>
      <c r="B16" s="29" t="n">
        <v>54</v>
      </c>
      <c r="C16" s="8" t="inlineStr">
        <is>
          <t>Bullish</t>
        </is>
      </c>
      <c r="D16" s="13" t="n">
        <v>5120</v>
      </c>
      <c r="E16" s="8" t="n">
        <v>2.6</v>
      </c>
      <c r="F16" s="29" t="n">
        <v>3.9</v>
      </c>
      <c r="G16" s="29" t="n">
        <v>18</v>
      </c>
      <c r="H16" s="131" t="inlineStr">
        <is>
          <t>BUY</t>
        </is>
      </c>
      <c r="I16" s="29" t="n">
        <v>4.5</v>
      </c>
      <c r="J16" s="8" t="inlineStr">
        <is>
          <t>Bullish</t>
        </is>
      </c>
      <c r="K16" s="29" t="n">
        <v>54.5</v>
      </c>
      <c r="L16" s="29" t="n">
        <v>3.85</v>
      </c>
      <c r="M16" s="29" t="n">
        <v>3.98</v>
      </c>
      <c r="N16" s="8" t="n">
        <v>2045</v>
      </c>
      <c r="O16" s="8" t="n">
        <v>76.95</v>
      </c>
      <c r="P16" s="8" t="n">
        <v>1.063</v>
      </c>
      <c r="Q16" s="8" t="n"/>
    </row>
    <row r="17" ht="15" customHeight="1" s="113">
      <c r="A17" s="26" t="inlineStr">
        <is>
          <t>Jun 2025</t>
        </is>
      </c>
      <c r="B17" s="29" t="n">
        <v>50</v>
      </c>
      <c r="C17" s="8" t="inlineStr">
        <is>
          <t>Bullish</t>
        </is>
      </c>
      <c r="D17" s="13" t="n">
        <v>5200</v>
      </c>
      <c r="E17" s="8" t="n">
        <v>2.7</v>
      </c>
      <c r="F17" s="29" t="n">
        <v>3.6</v>
      </c>
      <c r="G17" s="29" t="n">
        <v>20</v>
      </c>
      <c r="H17" s="131" t="inlineStr">
        <is>
          <t>BUY</t>
        </is>
      </c>
      <c r="I17" s="29" t="n">
        <v>4.6</v>
      </c>
      <c r="J17" s="8" t="inlineStr">
        <is>
          <t>Bullish</t>
        </is>
      </c>
      <c r="K17" s="29" t="n">
        <v>56</v>
      </c>
      <c r="L17" s="29" t="n">
        <v>3.8</v>
      </c>
      <c r="M17" s="29" t="n">
        <v>3.94</v>
      </c>
      <c r="N17" s="8" t="n">
        <v>2060</v>
      </c>
      <c r="O17" s="8" t="n">
        <v>77.09999999999999</v>
      </c>
      <c r="P17" s="8" t="n">
        <v>1.064</v>
      </c>
      <c r="Q17" s="8" t="n"/>
    </row>
    <row r="18" ht="15" customHeight="1" s="113">
      <c r="A18" s="26" t="inlineStr">
        <is>
          <t>Jul 2025</t>
        </is>
      </c>
      <c r="B18" s="29" t="n">
        <v>46</v>
      </c>
      <c r="C18" s="8" t="inlineStr">
        <is>
          <t>Neutru</t>
        </is>
      </c>
      <c r="D18" s="13" t="n">
        <v>5080</v>
      </c>
      <c r="E18" s="8" t="n">
        <v>2.8</v>
      </c>
      <c r="F18" s="29" t="n">
        <v>3.4</v>
      </c>
      <c r="G18" s="29" t="n">
        <v>22</v>
      </c>
      <c r="H18" s="131" t="inlineStr">
        <is>
          <t>WAIT</t>
        </is>
      </c>
      <c r="I18" s="29" t="n">
        <v>4.7</v>
      </c>
      <c r="J18" s="8" t="inlineStr">
        <is>
          <t>Sideways</t>
        </is>
      </c>
      <c r="K18" s="29" t="n">
        <v>57.5</v>
      </c>
      <c r="L18" s="29" t="n">
        <v>3.75</v>
      </c>
      <c r="M18" s="29" t="n">
        <v>3.9</v>
      </c>
      <c r="N18" s="8" t="n">
        <v>2075</v>
      </c>
      <c r="O18" s="8" t="n">
        <v>77.25</v>
      </c>
      <c r="P18" s="8" t="n">
        <v>1.065</v>
      </c>
      <c r="Q18" s="8" t="n"/>
    </row>
    <row r="19" ht="15" customHeight="1" s="113">
      <c r="A19" s="26" t="inlineStr">
        <is>
          <t>Aug 2025</t>
        </is>
      </c>
      <c r="B19" s="29" t="n">
        <v>42</v>
      </c>
      <c r="C19" s="8" t="inlineStr">
        <is>
          <t>Neutru</t>
        </is>
      </c>
      <c r="D19" s="13" t="n">
        <v>5150</v>
      </c>
      <c r="E19" s="8" t="n">
        <v>2.8</v>
      </c>
      <c r="F19" s="29" t="n">
        <v>3.2</v>
      </c>
      <c r="G19" s="29" t="n">
        <v>21</v>
      </c>
      <c r="H19" s="131" t="inlineStr">
        <is>
          <t>WAIT</t>
        </is>
      </c>
      <c r="I19" s="29" t="n">
        <v>4.8</v>
      </c>
      <c r="J19" s="8" t="inlineStr">
        <is>
          <t>Sideways</t>
        </is>
      </c>
      <c r="K19" s="29" t="n">
        <v>59</v>
      </c>
      <c r="L19" s="29" t="n">
        <v>3.7</v>
      </c>
      <c r="M19" s="29" t="n">
        <v>3.86</v>
      </c>
      <c r="N19" s="8" t="n">
        <v>2090</v>
      </c>
      <c r="O19" s="8" t="n">
        <v>77.40000000000001</v>
      </c>
      <c r="P19" s="8" t="n">
        <v>1.066</v>
      </c>
      <c r="Q19" s="8" t="n"/>
    </row>
    <row r="20" ht="15" customHeight="1" s="113">
      <c r="A20" s="26" t="inlineStr">
        <is>
          <t>Sep 2025</t>
        </is>
      </c>
      <c r="B20" s="29" t="n">
        <v>48</v>
      </c>
      <c r="C20" s="8" t="inlineStr">
        <is>
          <t>Bullish</t>
        </is>
      </c>
      <c r="D20" s="13" t="n">
        <v>5220</v>
      </c>
      <c r="E20" s="8" t="n">
        <v>2.9</v>
      </c>
      <c r="F20" s="29" t="n">
        <v>3</v>
      </c>
      <c r="G20" s="29" t="n">
        <v>19</v>
      </c>
      <c r="H20" s="131" t="inlineStr">
        <is>
          <t>BUY</t>
        </is>
      </c>
      <c r="I20" s="29" t="n">
        <v>4.9</v>
      </c>
      <c r="J20" s="8" t="inlineStr">
        <is>
          <t>Bullish</t>
        </is>
      </c>
      <c r="K20" s="29" t="n">
        <v>60.5</v>
      </c>
      <c r="L20" s="29" t="n">
        <v>3.65</v>
      </c>
      <c r="M20" s="29" t="n">
        <v>3.82</v>
      </c>
      <c r="N20" s="8" t="n">
        <v>2105</v>
      </c>
      <c r="O20" s="8" t="n">
        <v>77.55</v>
      </c>
      <c r="P20" s="8" t="n">
        <v>1.067</v>
      </c>
      <c r="Q20" s="8" t="n"/>
    </row>
    <row r="21" ht="15" customHeight="1" s="113">
      <c r="A21" s="26" t="inlineStr">
        <is>
          <t>Oct 2025</t>
        </is>
      </c>
      <c r="B21" s="29" t="n">
        <v>52</v>
      </c>
      <c r="C21" s="8" t="inlineStr">
        <is>
          <t>Bullish</t>
        </is>
      </c>
      <c r="D21" s="13" t="n">
        <v>5150</v>
      </c>
      <c r="E21" s="8" t="n">
        <v>2.9</v>
      </c>
      <c r="F21" s="29" t="n">
        <v>3.1</v>
      </c>
      <c r="G21" s="29" t="n">
        <v>17</v>
      </c>
      <c r="H21" s="131" t="inlineStr">
        <is>
          <t>BUY</t>
        </is>
      </c>
      <c r="I21" s="29" t="n">
        <v>5</v>
      </c>
      <c r="J21" s="8" t="inlineStr">
        <is>
          <t>Bullish</t>
        </is>
      </c>
      <c r="K21" s="29" t="n">
        <v>62</v>
      </c>
      <c r="L21" s="29" t="n">
        <v>3.6</v>
      </c>
      <c r="M21" s="29" t="n">
        <v>3.78</v>
      </c>
      <c r="N21" s="8" t="n">
        <v>2120</v>
      </c>
      <c r="O21" s="8" t="n">
        <v>77.7</v>
      </c>
      <c r="P21" s="8" t="n">
        <v>1.068</v>
      </c>
      <c r="Q21" s="8" t="n"/>
    </row>
    <row r="22" ht="15" customHeight="1" s="113">
      <c r="A22" s="26" t="inlineStr">
        <is>
          <t>Nov 2025</t>
        </is>
      </c>
      <c r="B22" s="29" t="n">
        <v>56</v>
      </c>
      <c r="C22" s="8" t="inlineStr">
        <is>
          <t>Bullish</t>
        </is>
      </c>
      <c r="D22" s="13" t="n">
        <v>5250</v>
      </c>
      <c r="E22" s="8" t="n">
        <v>3</v>
      </c>
      <c r="F22" s="29" t="n">
        <v>3.2</v>
      </c>
      <c r="G22" s="29" t="n">
        <v>16</v>
      </c>
      <c r="H22" s="131" t="inlineStr">
        <is>
          <t>BUY</t>
        </is>
      </c>
      <c r="I22" s="29" t="n">
        <v>5.1</v>
      </c>
      <c r="J22" s="8" t="inlineStr">
        <is>
          <t>Bullish</t>
        </is>
      </c>
      <c r="K22" s="29" t="n">
        <v>63.5</v>
      </c>
      <c r="L22" s="29" t="n">
        <v>3.55</v>
      </c>
      <c r="M22" s="29" t="n">
        <v>3.74</v>
      </c>
      <c r="N22" s="8" t="n">
        <v>2135</v>
      </c>
      <c r="O22" s="8" t="n">
        <v>77.84999999999999</v>
      </c>
      <c r="P22" s="8" t="n">
        <v>1.069</v>
      </c>
      <c r="Q22" s="8" t="n"/>
    </row>
    <row r="23" ht="15" customHeight="1" s="113">
      <c r="A23" s="26" t="inlineStr">
        <is>
          <t>Dec 2025</t>
        </is>
      </c>
      <c r="B23" s="29" t="n">
        <v>54</v>
      </c>
      <c r="C23" s="8" t="inlineStr">
        <is>
          <t>Bullish</t>
        </is>
      </c>
      <c r="D23" s="13" t="n">
        <v>5180</v>
      </c>
      <c r="E23" s="8" t="n">
        <v>3</v>
      </c>
      <c r="F23" s="29" t="n">
        <v>3.4</v>
      </c>
      <c r="G23" s="29" t="n">
        <v>18</v>
      </c>
      <c r="H23" s="131" t="inlineStr">
        <is>
          <t>BUY</t>
        </is>
      </c>
      <c r="I23" s="29" t="n">
        <v>5.2</v>
      </c>
      <c r="J23" s="8" t="inlineStr">
        <is>
          <t>Bullish</t>
        </is>
      </c>
      <c r="K23" s="29" t="n">
        <v>65</v>
      </c>
      <c r="L23" s="29" t="n">
        <v>3.5</v>
      </c>
      <c r="M23" s="29" t="n">
        <v>3.7</v>
      </c>
      <c r="N23" s="8" t="n">
        <v>2150</v>
      </c>
      <c r="O23" s="8" t="n">
        <v>78</v>
      </c>
      <c r="P23" s="8" t="n">
        <v>1.07</v>
      </c>
      <c r="Q23" s="8" t="n"/>
    </row>
    <row r="24" ht="15" customHeight="1" s="113">
      <c r="A24" s="26" t="inlineStr">
        <is>
          <t>Dec 2025</t>
        </is>
      </c>
      <c r="B24" s="29" t="n">
        <v>52</v>
      </c>
      <c r="C24" s="8" t="inlineStr">
        <is>
          <t>Bullish</t>
        </is>
      </c>
      <c r="D24" s="13" t="n">
        <v>5220</v>
      </c>
      <c r="E24" s="8" t="n">
        <v>3</v>
      </c>
      <c r="F24" s="29" t="n">
        <v>3.5</v>
      </c>
      <c r="G24" s="29" t="n">
        <v>19</v>
      </c>
      <c r="H24" s="131" t="inlineStr">
        <is>
          <t>BUY</t>
        </is>
      </c>
      <c r="I24" s="29" t="n">
        <v>5.3</v>
      </c>
      <c r="J24" s="8" t="inlineStr">
        <is>
          <t>Bullish</t>
        </is>
      </c>
      <c r="K24" s="29" t="n">
        <v>66.5</v>
      </c>
      <c r="L24" s="29" t="n">
        <v>3.45</v>
      </c>
      <c r="M24" s="29" t="n">
        <v>3.66</v>
      </c>
      <c r="N24" s="8" t="n">
        <v>2165</v>
      </c>
      <c r="O24" s="8" t="n">
        <v>78.15000000000001</v>
      </c>
      <c r="P24" s="8" t="n">
        <v>1.071</v>
      </c>
      <c r="Q24" s="8" t="n"/>
    </row>
    <row r="25" ht="15" customHeight="1" s="113">
      <c r="A25" s="26" t="inlineStr">
        <is>
          <t>Jan 2026</t>
        </is>
      </c>
      <c r="B25" s="29" t="n">
        <v>50</v>
      </c>
      <c r="C25" s="8" t="inlineStr">
        <is>
          <t>Bullish</t>
        </is>
      </c>
      <c r="D25" s="13" t="n">
        <v>5260</v>
      </c>
      <c r="E25" s="8" t="n">
        <v>3.1</v>
      </c>
      <c r="F25" s="29" t="n">
        <v>3.3</v>
      </c>
      <c r="G25" s="29" t="n">
        <v>18</v>
      </c>
      <c r="H25" s="131" t="inlineStr">
        <is>
          <t>BUY</t>
        </is>
      </c>
      <c r="I25" s="29" t="n">
        <v>5.4</v>
      </c>
      <c r="J25" s="8" t="inlineStr">
        <is>
          <t>Bullish</t>
        </is>
      </c>
      <c r="K25" s="29" t="n">
        <v>68</v>
      </c>
      <c r="L25" s="29" t="n">
        <v>3.4</v>
      </c>
      <c r="M25" s="29" t="n">
        <v>3.62</v>
      </c>
      <c r="N25" s="8" t="n">
        <v>2180</v>
      </c>
      <c r="O25" s="8" t="n">
        <v>78.3</v>
      </c>
      <c r="P25" s="8" t="n">
        <v>1.072</v>
      </c>
      <c r="Q25" s="8" t="n"/>
    </row>
    <row r="26" ht="15" customHeight="1" s="113">
      <c r="A26" s="26" t="inlineStr">
        <is>
          <t>Mar 2026</t>
        </is>
      </c>
      <c r="B26" s="29" t="n">
        <v>52</v>
      </c>
      <c r="C26" s="8" t="inlineStr">
        <is>
          <t>Bullish</t>
        </is>
      </c>
      <c r="D26" s="13" t="n">
        <v>5250</v>
      </c>
      <c r="E26" s="8" t="n">
        <v>3.2</v>
      </c>
      <c r="F26" s="29" t="n">
        <v>3.2</v>
      </c>
      <c r="G26" s="29" t="n">
        <v>18</v>
      </c>
      <c r="H26" s="131" t="inlineStr">
        <is>
          <t>BUY</t>
        </is>
      </c>
      <c r="I26" s="29" t="n">
        <v>5.5</v>
      </c>
      <c r="J26" s="8" t="inlineStr">
        <is>
          <t>Bullish</t>
        </is>
      </c>
      <c r="K26" s="29" t="n">
        <v>69.5</v>
      </c>
      <c r="L26" s="29" t="n">
        <v>3.35</v>
      </c>
      <c r="M26" s="29" t="n">
        <v>3.58</v>
      </c>
      <c r="N26" s="8" t="n">
        <v>2195</v>
      </c>
      <c r="O26" s="8" t="n">
        <v>78.45</v>
      </c>
      <c r="P26" s="8" t="n">
        <v>1.073</v>
      </c>
      <c r="Q26" s="8" t="n"/>
    </row>
  </sheetData>
  <mergeCells count="1">
    <mergeCell ref="A1:Q1"/>
  </mergeCells>
  <conditionalFormatting sqref="H3:H100">
    <cfRule type="cellIs" priority="2" operator="equal" dxfId="2">
      <formula>"BUY"</formula>
    </cfRule>
    <cfRule type="cellIs" priority="3" operator="equal" dxfId="1">
      <formula>"SELL"</formula>
    </cfRule>
    <cfRule type="cellIs" priority="4" operator="equal" dxfId="0">
      <formula>"WAIT"</formula>
    </cfRule>
  </conditionalFormatting>
  <conditionalFormatting sqref="J3:J100">
    <cfRule type="cellIs" priority="8" operator="equal" dxfId="2">
      <formula>"Bullish"</formula>
    </cfRule>
    <cfRule type="cellIs" priority="9" operator="equal" dxfId="1">
      <formula>"Bearish"</formula>
    </cfRule>
    <cfRule type="cellIs" priority="10" operator="equal" dxfId="0">
      <formula>"Sideways"</formula>
    </cfRule>
  </conditionalFormatting>
  <pageMargins left="0.75" right="0.75" top="1" bottom="1" header="0.511811023622047" footer="0.511811023622047"/>
  <pageSetup orientation="portrait" paperSize="9" scale="47" horizontalDpi="300" verticalDpi="300"/>
</worksheet>
</file>

<file path=xl/worksheets/sheet12.xml><?xml version="1.0" encoding="utf-8"?>
<worksheet xmlns="http://schemas.openxmlformats.org/spreadsheetml/2006/main">
  <sheetPr>
    <tabColor rgb="FF808080"/>
    <outlinePr summaryBelow="1" summaryRight="1"/>
    <pageSetUpPr/>
  </sheetPr>
  <dimension ref="A1:G57"/>
  <sheetViews>
    <sheetView view="pageBreakPreview" zoomScale="60" zoomScaleNormal="100" workbookViewId="0">
      <pane ySplit="1" topLeftCell="A2" activePane="bottomLeft" state="frozen"/>
      <selection pane="bottomLeft" activeCell="B20" sqref="B20:D20"/>
    </sheetView>
  </sheetViews>
  <sheetFormatPr baseColWidth="8" defaultColWidth="8.6328125" defaultRowHeight="14.5"/>
  <cols>
    <col width="30" customWidth="1" style="113" min="1" max="1"/>
    <col width="12" customWidth="1" style="113" min="2" max="2"/>
    <col width="10" customWidth="1" style="113" min="3" max="3"/>
    <col width="45" customWidth="1" style="113" min="4" max="4"/>
    <col width="15" customWidth="1" style="113" min="5" max="7"/>
  </cols>
  <sheetData>
    <row r="1" ht="34.5" customHeight="1" s="113">
      <c r="A1" s="155" t="inlineStr">
        <is>
          <t>📋 LEGENDĂ — SISTEM DE CULORI ȘI ABREVIERI</t>
        </is>
      </c>
    </row>
    <row r="3" ht="15" customHeight="1" s="113">
      <c r="A3" s="143" t="inlineStr">
        <is>
          <t>Tip celulă</t>
        </is>
      </c>
      <c r="B3" s="143" t="inlineStr">
        <is>
          <t>Fundal</t>
        </is>
      </c>
      <c r="C3" s="143" t="inlineStr">
        <is>
          <t>Text</t>
        </is>
      </c>
      <c r="D3" s="143" t="inlineStr">
        <is>
          <t>Semnificație</t>
        </is>
      </c>
    </row>
    <row r="4" ht="15" customHeight="1" s="113">
      <c r="A4" s="30" t="inlineStr">
        <is>
          <t>Celule editabile (input manual)</t>
        </is>
      </c>
      <c r="B4" s="131" t="inlineStr">
        <is>
          <t>█████</t>
        </is>
      </c>
      <c r="C4" s="31" t="inlineStr">
        <is>
          <t>Abc</t>
        </is>
      </c>
      <c r="D4" s="137" t="inlineStr">
        <is>
          <t>Date introduse manual de utilizator</t>
        </is>
      </c>
    </row>
    <row r="5" ht="15" customHeight="1" s="113">
      <c r="A5" s="157" t="inlineStr">
        <is>
          <t>Formule/calcule automate</t>
        </is>
      </c>
      <c r="B5" s="32" t="inlineStr">
        <is>
          <t>█████</t>
        </is>
      </c>
      <c r="C5" s="33" t="inlineStr">
        <is>
          <t>Abc</t>
        </is>
      </c>
      <c r="D5" s="137" t="inlineStr">
        <is>
          <t>Calculat automat — nu edita</t>
        </is>
      </c>
    </row>
    <row r="6" ht="15" customHeight="1" s="113">
      <c r="A6" s="34" t="inlineStr">
        <is>
          <t>Referință alt sheet</t>
        </is>
      </c>
      <c r="B6" s="8" t="inlineStr">
        <is>
          <t>█████</t>
        </is>
      </c>
      <c r="C6" s="35" t="inlineStr">
        <is>
          <t>Abc</t>
        </is>
      </c>
      <c r="D6" s="137" t="inlineStr">
        <is>
          <t>Link la alt sheet/celulă</t>
        </is>
      </c>
    </row>
    <row r="7" ht="15" customHeight="1" s="113">
      <c r="A7" s="36" t="inlineStr">
        <is>
          <t>Header coloane</t>
        </is>
      </c>
      <c r="B7" s="37" t="inlineStr">
        <is>
          <t>█████</t>
        </is>
      </c>
      <c r="C7" s="143" t="inlineStr">
        <is>
          <t>Abc</t>
        </is>
      </c>
      <c r="D7" s="137" t="inlineStr">
        <is>
          <t>Titlu coloane principale</t>
        </is>
      </c>
    </row>
    <row r="8" ht="15" customHeight="1" s="113">
      <c r="A8" s="38" t="inlineStr">
        <is>
          <t>Header rânduri / categorii</t>
        </is>
      </c>
      <c r="B8" s="39" t="inlineStr">
        <is>
          <t>█████</t>
        </is>
      </c>
      <c r="C8" s="26" t="inlineStr">
        <is>
          <t>Abc</t>
        </is>
      </c>
      <c r="D8" s="137" t="inlineStr">
        <is>
          <t>Titlu rând / categorie</t>
        </is>
      </c>
    </row>
    <row r="9" ht="15" customHeight="1" s="113">
      <c r="A9" s="40" t="inlineStr">
        <is>
          <t>STATUS POZITIV / BUY</t>
        </is>
      </c>
      <c r="B9" s="27" t="inlineStr">
        <is>
          <t>█████</t>
        </is>
      </c>
      <c r="C9" s="41" t="inlineStr">
        <is>
          <t>Abc</t>
        </is>
      </c>
      <c r="D9" s="137" t="inlineStr">
        <is>
          <t>Semnal favorabil, trend bullish</t>
        </is>
      </c>
    </row>
    <row r="10" ht="15" customHeight="1" s="113">
      <c r="A10" s="42" t="inlineStr">
        <is>
          <t>STATUS NEUTRU / WAIT</t>
        </is>
      </c>
      <c r="B10" s="43" t="inlineStr">
        <is>
          <t>█████</t>
        </is>
      </c>
      <c r="C10" s="44" t="inlineStr">
        <is>
          <t>Abc</t>
        </is>
      </c>
      <c r="D10" s="137" t="inlineStr">
        <is>
          <t>Semnale mixte, așteptare</t>
        </is>
      </c>
    </row>
    <row r="11" ht="15" customHeight="1" s="113">
      <c r="A11" s="45" t="inlineStr">
        <is>
          <t>STATUS NEGATIV / SELL</t>
        </is>
      </c>
      <c r="B11" s="46" t="inlineStr">
        <is>
          <t>█████</t>
        </is>
      </c>
      <c r="C11" s="47" t="inlineStr">
        <is>
          <t>Abc</t>
        </is>
      </c>
      <c r="D11" s="137" t="inlineStr">
        <is>
          <t>Semnal negativ, trend bearish</t>
        </is>
      </c>
    </row>
    <row r="12" ht="15" customHeight="1" s="113">
      <c r="A12" s="48" t="inlineStr">
        <is>
          <t>ALERTĂ / prag atins</t>
        </is>
      </c>
      <c r="B12" s="49" t="inlineStr">
        <is>
          <t>█████</t>
        </is>
      </c>
      <c r="C12" s="50" t="inlineStr">
        <is>
          <t>Abc</t>
        </is>
      </c>
      <c r="D12" s="137" t="inlineStr">
        <is>
          <t>Atenție — acțiune necesară</t>
        </is>
      </c>
    </row>
    <row r="13" ht="15" customHeight="1" s="113">
      <c r="A13" s="51" t="inlineStr">
        <is>
          <t>Celule protejate</t>
        </is>
      </c>
      <c r="B13" s="52" t="inlineStr">
        <is>
          <t>█████</t>
        </is>
      </c>
      <c r="C13" s="53" t="inlineStr">
        <is>
          <t>Abc</t>
        </is>
      </c>
      <c r="D13" s="137" t="inlineStr">
        <is>
          <t>Nu poate fi editată</t>
        </is>
      </c>
    </row>
    <row r="16" ht="15" customHeight="1" s="113">
      <c r="A16" s="153" t="inlineStr">
        <is>
          <t>📖 ABREVIERI</t>
        </is>
      </c>
    </row>
    <row r="17" ht="15" customHeight="1" s="113">
      <c r="A17" s="143" t="inlineStr">
        <is>
          <t>Abreviere</t>
        </is>
      </c>
      <c r="B17" s="143" t="inlineStr">
        <is>
          <t>Semnificație completă</t>
        </is>
      </c>
      <c r="C17" s="126" t="n"/>
      <c r="D17" s="127" t="n"/>
    </row>
    <row r="18" ht="15" customHeight="1" s="113">
      <c r="A18" s="54" t="inlineStr">
        <is>
          <t>MoM</t>
        </is>
      </c>
      <c r="B18" s="137" t="inlineStr">
        <is>
          <t>Month over Month — variație față de luna anterioară</t>
        </is>
      </c>
      <c r="C18" s="126" t="n"/>
      <c r="D18" s="127" t="n"/>
    </row>
    <row r="19" ht="15" customHeight="1" s="113">
      <c r="A19" s="54" t="inlineStr">
        <is>
          <t>YoY</t>
        </is>
      </c>
      <c r="B19" s="137" t="inlineStr">
        <is>
          <t>Year over Year — variație față de același trimestru/an anterior</t>
        </is>
      </c>
      <c r="C19" s="126" t="n"/>
      <c r="D19" s="127" t="n"/>
    </row>
    <row r="20" ht="15" customHeight="1" s="113">
      <c r="A20" s="54" t="inlineStr">
        <is>
          <t>MA</t>
        </is>
      </c>
      <c r="B20" s="137" t="inlineStr">
        <is>
          <t>Moving Average — medie mobilă (MA20, MA50, MA200)</t>
        </is>
      </c>
      <c r="C20" s="126" t="n"/>
      <c r="D20" s="127" t="n"/>
    </row>
    <row r="21" ht="15" customHeight="1" s="113">
      <c r="A21" s="54" t="inlineStr">
        <is>
          <t>RSI</t>
        </is>
      </c>
      <c r="B21" s="137" t="inlineStr">
        <is>
          <t>Relative Strength Index — indicator momentum (0-100)</t>
        </is>
      </c>
      <c r="C21" s="126" t="n"/>
      <c r="D21" s="127" t="n"/>
    </row>
    <row r="22" ht="15" customHeight="1" s="113">
      <c r="A22" s="54" t="inlineStr">
        <is>
          <t>MACD</t>
        </is>
      </c>
      <c r="B22" s="137" t="inlineStr">
        <is>
          <t>Moving Average Convergence/Divergence — crossover trend</t>
        </is>
      </c>
      <c r="C22" s="126" t="n"/>
      <c r="D22" s="127" t="n"/>
    </row>
    <row r="23" ht="15" customHeight="1" s="113">
      <c r="A23" s="54" t="inlineStr">
        <is>
          <t>RR</t>
        </is>
      </c>
      <c r="B23" s="137" t="inlineStr">
        <is>
          <t>Risk/Reward Ratio — raport risc/recompensă</t>
        </is>
      </c>
      <c r="C23" s="126" t="n"/>
      <c r="D23" s="127" t="n"/>
    </row>
    <row r="24" ht="15" customHeight="1" s="113">
      <c r="A24" s="54" t="inlineStr">
        <is>
          <t>SL</t>
        </is>
      </c>
      <c r="B24" s="137" t="inlineStr">
        <is>
          <t>Stop Loss — nivelul de ieșire la pierdere</t>
        </is>
      </c>
      <c r="C24" s="126" t="n"/>
      <c r="D24" s="127" t="n"/>
    </row>
    <row r="25" ht="15" customHeight="1" s="113">
      <c r="A25" s="54" t="inlineStr">
        <is>
          <t>TP</t>
        </is>
      </c>
      <c r="B25" s="137" t="inlineStr">
        <is>
          <t>Take Profit — nivelul de ieșire la profit</t>
        </is>
      </c>
      <c r="C25" s="126" t="n"/>
      <c r="D25" s="127" t="n"/>
    </row>
    <row r="26" ht="15" customHeight="1" s="113">
      <c r="A26" s="54" t="inlineStr">
        <is>
          <t>ATH</t>
        </is>
      </c>
      <c r="B26" s="137" t="inlineStr">
        <is>
          <t>All-Time High — maximul istoric al prețului</t>
        </is>
      </c>
      <c r="C26" s="126" t="n"/>
      <c r="D26" s="127" t="n"/>
    </row>
    <row r="27" ht="15" customHeight="1" s="113">
      <c r="A27" s="54" t="inlineStr">
        <is>
          <t>ATL</t>
        </is>
      </c>
      <c r="B27" s="137" t="inlineStr">
        <is>
          <t>All-Time Low — minimul istoric al prețului</t>
        </is>
      </c>
      <c r="C27" s="126" t="n"/>
      <c r="D27" s="127" t="n"/>
    </row>
    <row r="28" ht="15" customHeight="1" s="113">
      <c r="A28" s="54" t="inlineStr">
        <is>
          <t>RVOL</t>
        </is>
      </c>
      <c r="B28" s="137" t="inlineStr">
        <is>
          <t>Relative Volume — volum curent vs medie</t>
        </is>
      </c>
      <c r="C28" s="126" t="n"/>
      <c r="D28" s="127" t="n"/>
    </row>
    <row r="29" ht="15" customHeight="1" s="113">
      <c r="A29" s="54" t="inlineStr">
        <is>
          <t>ATR</t>
        </is>
      </c>
      <c r="B29" s="137" t="inlineStr">
        <is>
          <t>Average True Range — volatilitate medie</t>
        </is>
      </c>
      <c r="C29" s="126" t="n"/>
      <c r="D29" s="127" t="n"/>
    </row>
    <row r="30" ht="15" customHeight="1" s="113">
      <c r="A30" s="54" t="inlineStr">
        <is>
          <t>VIX</t>
        </is>
      </c>
      <c r="B30" s="137" t="inlineStr">
        <is>
          <t>Volatility Index — indicele fricii S&amp;P500</t>
        </is>
      </c>
      <c r="C30" s="126" t="n"/>
      <c r="D30" s="127" t="n"/>
    </row>
    <row r="31" ht="15" customHeight="1" s="113">
      <c r="A31" s="54" t="inlineStr">
        <is>
          <t>PMI</t>
        </is>
      </c>
      <c r="B31" s="137" t="inlineStr">
        <is>
          <t>Purchasing Managers Index — indicator activitate economică</t>
        </is>
      </c>
      <c r="C31" s="126" t="n"/>
      <c r="D31" s="127" t="n"/>
    </row>
    <row r="32" ht="15" customHeight="1" s="113">
      <c r="A32" s="54" t="inlineStr">
        <is>
          <t>CPI</t>
        </is>
      </c>
      <c r="B32" s="137" t="inlineStr">
        <is>
          <t>Consumer Price Index — indicele prețurilor de consum</t>
        </is>
      </c>
      <c r="C32" s="126" t="n"/>
      <c r="D32" s="127" t="n"/>
    </row>
    <row r="36" ht="15" customHeight="1" s="113">
      <c r="A36" s="153" t="inlineStr">
        <is>
          <t>⚖️ SCALE</t>
        </is>
      </c>
    </row>
    <row r="37" ht="15" customHeight="1" s="113">
      <c r="A37" s="2" t="inlineStr">
        <is>
          <t>Scala risc</t>
        </is>
      </c>
      <c r="B37" s="55" t="inlineStr">
        <is>
          <t>1=Minim</t>
        </is>
      </c>
      <c r="C37" s="55" t="inlineStr">
        <is>
          <t>2=Scăzut</t>
        </is>
      </c>
      <c r="D37" s="55" t="inlineStr">
        <is>
          <t>3=Mediu</t>
        </is>
      </c>
      <c r="E37" s="55" t="inlineStr">
        <is>
          <t>4=Ridicat</t>
        </is>
      </c>
      <c r="F37" s="55" t="inlineStr">
        <is>
          <t>5=Critic</t>
        </is>
      </c>
    </row>
    <row r="38" ht="15" customHeight="1" s="113">
      <c r="A38" s="2" t="inlineStr">
        <is>
          <t>Scala probabilitate</t>
        </is>
      </c>
      <c r="B38" s="55" t="inlineStr">
        <is>
          <t>&lt;30%=Improbabil</t>
        </is>
      </c>
      <c r="C38" s="55" t="inlineStr">
        <is>
          <t>30-50%=Posibil</t>
        </is>
      </c>
      <c r="D38" s="55" t="inlineStr">
        <is>
          <t>50-70%=Probabil</t>
        </is>
      </c>
      <c r="E38" s="55" t="inlineStr">
        <is>
          <t>&gt;70%=Cert</t>
        </is>
      </c>
      <c r="F38" s="55" t="n"/>
    </row>
    <row r="39" ht="15" customHeight="1" s="113">
      <c r="A39" s="2" t="inlineStr">
        <is>
          <t>Scala calitate exec</t>
        </is>
      </c>
      <c r="B39" s="55" t="inlineStr">
        <is>
          <t>1-3=Slabă</t>
        </is>
      </c>
      <c r="C39" s="55" t="inlineStr">
        <is>
          <t>4-6=Medie</t>
        </is>
      </c>
      <c r="D39" s="55" t="inlineStr">
        <is>
          <t>7-8=Bună</t>
        </is>
      </c>
      <c r="E39" s="55" t="inlineStr">
        <is>
          <t>9-10=Excelentă</t>
        </is>
      </c>
      <c r="F39" s="55" t="n"/>
    </row>
    <row r="42" ht="15" customHeight="1" s="113">
      <c r="A42" s="153" t="inlineStr">
        <is>
          <t>🌐 SURSE RECOMANDATE</t>
        </is>
      </c>
    </row>
    <row r="43" ht="15" customHeight="1" s="113">
      <c r="A43" s="137" t="inlineStr">
        <is>
          <t>Bloomberg Terminal</t>
        </is>
      </c>
      <c r="B43" s="126" t="n"/>
      <c r="C43" s="126" t="n"/>
      <c r="D43" s="127" t="n"/>
    </row>
    <row r="44" ht="15" customHeight="1" s="113">
      <c r="A44" s="137" t="inlineStr">
        <is>
          <t>Reuters / Reuters Eikon</t>
        </is>
      </c>
      <c r="B44" s="126" t="n"/>
      <c r="C44" s="126" t="n"/>
      <c r="D44" s="127" t="n"/>
    </row>
    <row r="45" ht="15" customHeight="1" s="113">
      <c r="A45" s="137" t="inlineStr">
        <is>
          <t>Trading Economics (tradingeconomics.com)</t>
        </is>
      </c>
      <c r="B45" s="126" t="n"/>
      <c r="C45" s="126" t="n"/>
      <c r="D45" s="127" t="n"/>
    </row>
    <row r="46" ht="15" customHeight="1" s="113">
      <c r="A46" s="137" t="inlineStr">
        <is>
          <t>Investing.com</t>
        </is>
      </c>
      <c r="B46" s="126" t="n"/>
      <c r="C46" s="126" t="n"/>
      <c r="D46" s="127" t="n"/>
    </row>
    <row r="47" ht="15" customHeight="1" s="113">
      <c r="A47" s="137" t="inlineStr">
        <is>
          <t>TradingView</t>
        </is>
      </c>
      <c r="B47" s="126" t="n"/>
      <c r="C47" s="126" t="n"/>
      <c r="D47" s="127" t="n"/>
    </row>
    <row r="48" ht="15" customHeight="1" s="113">
      <c r="A48" s="137" t="inlineStr">
        <is>
          <t>Yahoo Finance</t>
        </is>
      </c>
      <c r="B48" s="126" t="n"/>
      <c r="C48" s="126" t="n"/>
      <c r="D48" s="127" t="n"/>
    </row>
    <row r="49" ht="15" customHeight="1" s="113">
      <c r="A49" s="137" t="inlineStr">
        <is>
          <t>Federal Reserve / ECB (surse oficiale)</t>
        </is>
      </c>
      <c r="B49" s="126" t="n"/>
      <c r="C49" s="126" t="n"/>
      <c r="D49" s="127" t="n"/>
    </row>
    <row r="50" ht="15" customHeight="1" s="113">
      <c r="A50" s="137" t="inlineStr">
        <is>
          <t>Eurostat / INS (date macro Romania)</t>
        </is>
      </c>
      <c r="B50" s="126" t="n"/>
      <c r="C50" s="126" t="n"/>
      <c r="D50" s="127" t="n"/>
    </row>
    <row r="52" ht="15" customHeight="1" s="113">
      <c r="A52" s="153" t="inlineStr">
        <is>
          <t>🗓 CALENDAR ACTUALIZARE</t>
        </is>
      </c>
    </row>
    <row r="53" ht="15" customHeight="1" s="113">
      <c r="A53" s="143" t="inlineStr">
        <is>
          <t>Frecvență</t>
        </is>
      </c>
      <c r="B53" s="143" t="inlineStr">
        <is>
          <t>Sheet-uri afectate</t>
        </is>
      </c>
      <c r="C53" s="126" t="n"/>
      <c r="D53" s="127" t="n"/>
    </row>
    <row r="54" ht="15" customHeight="1" s="113">
      <c r="A54" s="31" t="inlineStr">
        <is>
          <t>Zilnic</t>
        </is>
      </c>
      <c r="B54" s="137" t="inlineStr">
        <is>
          <t>Prețuri/Volume, Semnale, Calendar Economic</t>
        </is>
      </c>
      <c r="C54" s="126" t="n"/>
      <c r="D54" s="127" t="n"/>
    </row>
    <row r="55" ht="15" customHeight="1" s="113">
      <c r="A55" s="31" t="inlineStr">
        <is>
          <t>Săptămânal</t>
        </is>
      </c>
      <c r="B55" s="137" t="inlineStr">
        <is>
          <t>Indicatori Tehnici, Dashboard</t>
        </is>
      </c>
      <c r="C55" s="126" t="n"/>
      <c r="D55" s="127" t="n"/>
    </row>
    <row r="56" ht="15" customHeight="1" s="113">
      <c r="A56" s="31" t="inlineStr">
        <is>
          <t>Lunar</t>
        </is>
      </c>
      <c r="B56" s="137" t="inlineStr">
        <is>
          <t>Macro, Competitori, Riscuri &amp; Oportunități</t>
        </is>
      </c>
      <c r="C56" s="126" t="n"/>
      <c r="D56" s="127" t="n"/>
    </row>
    <row r="57" ht="15" customHeight="1" s="113">
      <c r="A57" s="31" t="inlineStr">
        <is>
          <t>Trimestrial</t>
        </is>
      </c>
      <c r="B57" s="137" t="inlineStr">
        <is>
          <t>Jurnal review, Trending snapshot</t>
        </is>
      </c>
      <c r="C57" s="126" t="n"/>
      <c r="D57" s="127" t="n"/>
    </row>
  </sheetData>
  <mergeCells count="34">
    <mergeCell ref="B23:D23"/>
    <mergeCell ref="B57:D57"/>
    <mergeCell ref="B17:D17"/>
    <mergeCell ref="A52:D52"/>
    <mergeCell ref="A43:D43"/>
    <mergeCell ref="B53:D53"/>
    <mergeCell ref="B29:D29"/>
    <mergeCell ref="A44:D44"/>
    <mergeCell ref="B28:D28"/>
    <mergeCell ref="B19:D19"/>
    <mergeCell ref="A48:D48"/>
    <mergeCell ref="B30:D30"/>
    <mergeCell ref="A49:D49"/>
    <mergeCell ref="B55:D55"/>
    <mergeCell ref="B24:D24"/>
    <mergeCell ref="A36:D36"/>
    <mergeCell ref="B20:D20"/>
    <mergeCell ref="A45:D45"/>
    <mergeCell ref="A1:G1"/>
    <mergeCell ref="B32:D32"/>
    <mergeCell ref="B26:D26"/>
    <mergeCell ref="A16:D16"/>
    <mergeCell ref="B25:D25"/>
    <mergeCell ref="A46:D46"/>
    <mergeCell ref="B54:D54"/>
    <mergeCell ref="B31:D31"/>
    <mergeCell ref="A50:D50"/>
    <mergeCell ref="B22:D22"/>
    <mergeCell ref="B56:D56"/>
    <mergeCell ref="B27:D27"/>
    <mergeCell ref="B18:D18"/>
    <mergeCell ref="B21:D21"/>
    <mergeCell ref="A47:D47"/>
    <mergeCell ref="A42:D42"/>
  </mergeCells>
  <pageMargins left="0.75" right="0.75" top="1" bottom="1" header="0.511811023622047" footer="0.511811023622047"/>
  <pageSetup orientation="portrait" paperSize="9" scale="60" horizontalDpi="300" verticalDpi="300"/>
</worksheet>
</file>

<file path=xl/worksheets/sheet13.xml><?xml version="1.0" encoding="utf-8"?>
<worksheet xmlns="http://schemas.openxmlformats.org/spreadsheetml/2006/main">
  <sheetPr>
    <tabColor rgb="00154360"/>
    <outlinePr summaryBelow="1" summaryRight="1"/>
    <pageSetUpPr/>
  </sheetPr>
  <dimension ref="A1:C1069"/>
  <sheetViews>
    <sheetView workbookViewId="0">
      <pane ySplit="1" topLeftCell="A2" activePane="bottomLeft" state="frozen"/>
      <selection pane="bottomLeft" activeCell="A1" sqref="A1"/>
    </sheetView>
  </sheetViews>
  <sheetFormatPr baseColWidth="8" defaultRowHeight="15"/>
  <cols>
    <col width="60" customWidth="1" style="113" min="1" max="1"/>
    <col width="50" customWidth="1" style="113" min="2" max="2"/>
    <col width="28" customWidth="1" style="113" min="3" max="3"/>
  </cols>
  <sheetData>
    <row r="1" ht="55" customHeight="1" s="113">
      <c r="A1" s="181" t="inlineStr">
        <is>
          <t>GHID DE INVATARE ZILNIC — ANALIZA DE PIATA PROFESIONALA
Generat: 23.03.2026  23:39   |   87 active analizate   |   BUY: 22   SELL: 11   WAIT: 54</t>
        </is>
      </c>
    </row>
    <row r="3" ht="28" customHeight="1" s="113">
      <c r="A3" s="182" t="inlineStr">
        <is>
          <t xml:space="preserve">  ══════  INDICI BURSIERI  ══════</t>
        </is>
      </c>
    </row>
    <row r="5" ht="24" customHeight="1" s="113">
      <c r="A5" s="183" t="inlineStr">
        <is>
          <t xml:space="preserve">  S&amp;P 500   |   Preț: 6,581.0000   |   Zi: +1.15%   |   RSI: 34.7   |   Confluențe: 2/5   |   SEMNAL: WAIT  </t>
        </is>
      </c>
    </row>
    <row r="6" ht="18" customHeight="1" s="113">
      <c r="A6" s="184" t="inlineStr">
        <is>
          <t xml:space="preserve">  DE CE S-A MIȘCAT ASTĂZI</t>
        </is>
      </c>
    </row>
    <row r="7" ht="263" customHeight="1" s="113">
      <c r="A7" s="185" t="inlineStr">
        <is>
          <t>S&amp;P 500 a crescut moderat cu 1.15% astăzi (preț curent: 6,581.0000).
Pe săptămână: -2.01% | Pe lună: -4.49%.
VOLUM SCĂZUT: 0.6x față de medie — ATENȚIE!
Mișcările pe volum mic sunt adesea false (fake moves). Marii jucători nu participă activ azi. Probabilitate crescută ca mișcarea să se inverseze sau să nu continue.
RSI = 34.7 — Zonă slabă dar fără extremă.
Vânzătorii domină încă, dar presiunea începe să scadă. Urmărește o stabilizare a prețului și un candle bullish de confirmare înainte de a considera o intrare long.
MACD negativ (histogram: -21.5562).
Presiunea de vânzare domină pe termen scurt. Fii precaut cu pozițiile long în acest context.
GOLDEN CROSS ACTIV: MA50 (6,850.95) &gt; MA200 (6,624.78).
Cea mai importantă configurație bullish pe termen mediu-lung. Fondurile de pensii, ETF-urile și robo-advisors cumpără automat la Golden Cross. Trendul major este ascendent — scăderile sunt oportunități de cumpărare, nu semnale de panică.
Prețul în interiorul Bollinger (6,509.4098 — 7,006.0542). Nicio extremă pentru moment, volatilitate normală.
CONCLUZIE: Semnalele sunt MIXTE — AȘTEPTARE recomandată.
Nu forța o tranzacție când piața nu are direcție clară. Cel mai bun trade uneori este să nu tranzacționezi.</t>
        </is>
      </c>
    </row>
    <row r="8" ht="18" customHeight="1" s="113">
      <c r="A8" s="184" t="inlineStr">
        <is>
          <t xml:space="preserve">  OPORTUNITATE DE TRADING</t>
        </is>
      </c>
    </row>
    <row r="9" ht="133" customHeight="1" s="113">
      <c r="A9" s="185" t="inlineStr">
        <is>
          <t>NU EXISTĂ OPORTUNITATE CLARĂ în acest moment.
Confluențe tehnice: 2/5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10" ht="18" customHeight="1" s="113">
      <c r="A10" s="184" t="inlineStr">
        <is>
          <t xml:space="preserve">  PATTERN GRAFIC DETECTAT</t>
        </is>
      </c>
    </row>
    <row r="11" ht="120" customHeight="1" s="113">
      <c r="A11" s="185" t="inlineStr">
        <is>
          <t>PATTERN ACTIV: GOLDEN CROSS
MA50 (6,850.95) &gt; MA200 (6,624.78) cu 3.41%.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t>
        </is>
      </c>
    </row>
    <row r="12" ht="18" customHeight="1" s="113">
      <c r="A12" s="184" t="inlineStr">
        <is>
          <t xml:space="preserve">  LECȚIA ZILEI</t>
        </is>
      </c>
    </row>
    <row r="13" ht="315" customHeight="1" s="113">
      <c r="A13" s="185" t="inlineStr">
        <is>
          <t xml:space="preserve">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
LECȚIE — 'FOLLOW THE VOLUME':
Prețul poate fi manipulat, volumul nu minte.
O mișcare de preț pe volum sub 70% din medie este un semnal roșu. Poate fi manipulare de piață, poate fi o mișcare de 'thin market' (piață subțire în afara orelor principale), sau pur și simplu lipsă de interes real.
Regula de aur nr. 1 din trading: 'Nu cumpăra breakout-uri pe volum mic.'
Regula de aur nr. 2: 'Dacă prețul urcă pe volum scăzut, vânzătorii NU sunt convinși că e scump — cumpărătorii sunt cei care ridică prețul singuri.'</t>
        </is>
      </c>
    </row>
    <row r="14" ht="6" customHeight="1" s="113">
      <c r="A14" s="186" t="n"/>
      <c r="B14" s="186" t="n"/>
      <c r="C14" s="186" t="n"/>
    </row>
    <row r="16" ht="24" customHeight="1" s="113">
      <c r="A16" s="183" t="inlineStr">
        <is>
          <t xml:space="preserve">  NASDAQ 100   |   Preț: 24,188.5898   |   Zi: +1.22%   |   RSI: 42.0   |   Confluențe: 1/5   |   SEMNAL: WAIT  </t>
        </is>
      </c>
    </row>
    <row r="17" ht="18" customHeight="1" s="113">
      <c r="A17" s="184" t="inlineStr">
        <is>
          <t xml:space="preserve">  DE CE S-A MIȘCAT ASTĂZI</t>
        </is>
      </c>
    </row>
    <row r="18" ht="276" customHeight="1" s="113">
      <c r="A18" s="185" t="inlineStr">
        <is>
          <t>NASDAQ 100 a crescut moderat cu 1.22% astăzi (preț curent: 24,188.5898).
Pe săptămână: -2.39% | Pe lună: -3.16%.
VOLUM SCĂZUT: 0.1x față de medie — ATENȚIE!
Mișcările pe volum mic sunt adesea false (fake moves). Marii jucători nu participă activ azi. Probabilitate crescută ca mișcarea să se inverseze sau să nu continue.
RSI = 42.0 — Zonă NEUTRĂ.
Echilibru între cumpărători și vânzători. Piața caută direcție. Evita pozițiile mari până la o confirmare clară de trend.
MACD negativ (histogram: -63.7733).
Presiunea de vânzare domină pe termen scurt. Fii precaut cu pozițiile long în acest context.
GOLDEN CROSS ACTIV: MA50 (25,079.89) &gt; MA200 (24,371.49).
Cea mai importantă configurație bullish pe termen mediu-lung. Fondurile de pensii, ETF-urile și robo-advisors cumpără automat la Golden Cross. Trendul major este ascendent — scăderile sunt oportunități de cumpărare, nu semnale de panică.
PREȚ LA BANDA INFERIOARĂ Bollinger (24,032.2770).
Zonă de potențial suport tehnic. Statistic, 80% din oscilații rămân în interiorul benzilor. Posibilă revenire spre MA20 (mijlocul benzilor) în zilele imediat următoare.
CONCLUZIE: Semnalele sunt MIXTE — AȘTEPTARE recomandată.
Nu forța o tranzacție când piața nu are direcție clară. Cel mai bun trade uneori este să nu tranzacționezi.</t>
        </is>
      </c>
    </row>
    <row r="19" ht="18" customHeight="1" s="113">
      <c r="A19" s="184" t="inlineStr">
        <is>
          <t xml:space="preserve">  OPORTUNITATE DE TRADING</t>
        </is>
      </c>
    </row>
    <row r="20" ht="133" customHeight="1" s="113">
      <c r="A20" s="185" t="inlineStr">
        <is>
          <t>NU EXISTĂ OPORTUNITATE CLARĂ în acest moment.
Confluențe tehnice: 1/5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21" ht="18" customHeight="1" s="113">
      <c r="A21" s="184" t="inlineStr">
        <is>
          <t xml:space="preserve">  PATTERN GRAFIC DETECTAT</t>
        </is>
      </c>
    </row>
    <row r="22" ht="120" customHeight="1" s="113">
      <c r="A22" s="185" t="inlineStr">
        <is>
          <t>PATTERN ACTIV: GOLDEN CROSS
MA50 (25,079.89) &gt; MA200 (24,371.49) cu 2.91%.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t>
        </is>
      </c>
    </row>
    <row r="23" ht="18" customHeight="1" s="113">
      <c r="A23" s="184" t="inlineStr">
        <is>
          <t xml:space="preserve">  LECȚIA ZILEI</t>
        </is>
      </c>
    </row>
    <row r="24" ht="289" customHeight="1" s="113">
      <c r="A24" s="185" t="inlineStr">
        <is>
          <t xml:space="preserve">
─────────────────────────────────────────────LECȚIE — PUTEREA 'NU TRANZACȚIONEZ' :
Una dintre cele mai greu de aplicat lecții în trading este să nu faci nimic. Mulți traderi simt nevoia permanentă de a fi 'în piață'. Realitatea: marii profesioniști stau în cash sau neutral 60-70% din timp și atacă DOAR când setup-ul este perfect.
Jack Schwager, în cartea 'Market Wizards', a intervievat cei mai buni traderi din lume. Toți aveau în comun un lucru: SELECTIVITATE EXTREMĂ. Nu numărul de tranzacții te îmbogățește, ci CALITATEA lor.
Aplicare practică: stabilește-ți un checklist cu 5 condiții. Intri DOAR dacă toate 5 sunt bifate. Astăzi acest activ nu le bifează.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t>
        </is>
      </c>
    </row>
    <row r="25" ht="6" customHeight="1" s="113">
      <c r="A25" s="186" t="n"/>
      <c r="B25" s="186" t="n"/>
      <c r="C25" s="186" t="n"/>
    </row>
    <row r="27" ht="24" customHeight="1" s="113">
      <c r="A27" s="183" t="inlineStr">
        <is>
          <t xml:space="preserve">  NASDAQ Comp.   |   Preț: 21,946.7598   |   Zi: +1.38%   |   RSI: 41.0   |   Confluențe: 2/5   |   SEMNAL: WAIT  </t>
        </is>
      </c>
    </row>
    <row r="28" ht="18" customHeight="1" s="113">
      <c r="A28" s="184" t="inlineStr">
        <is>
          <t xml:space="preserve">  DE CE S-A MIȘCAT ASTĂZI</t>
        </is>
      </c>
    </row>
    <row r="29" ht="263" customHeight="1" s="113">
      <c r="A29" s="185" t="inlineStr">
        <is>
          <t>NASDAQ Comp. a crescut moderat cu 1.38% astăzi (preț curent: 21,946.7598).
Pe săptămână: -2.37% | Pe lună: -4.01%.
Volum în linie cu media (0.8x) — nicio anomalie de participare.
RSI = 41.0 — Zonă NEUTRĂ.
Echilibru între cumpărători și vânzători. Piața caută direcție. Evita pozițiile mari până la o confirmare clară de trend.
MACD negativ (histogram: -57.4210).
Presiunea de vânzare domină pe termen scurt. Fii precaut cu pozițiile long în acest context.
GOLDEN CROSS ACTIV: MA50 (22,931.29) &gt; MA200 (22,261.38).
Cea mai importantă configurație bullish pe termen mediu-lung. Fondurile de pensii, ETF-urile și robo-advisors cumpără automat la Golden Cross. Trendul major este ascendent — scăderile sunt oportunități de cumpărare, nu semnale de panică.
PREȚ LA BANDA INFERIOARĂ Bollinger (21,757.8553).
Zonă de potențial suport tehnic. Statistic, 80% din oscilații rămân în interiorul benzilor. Posibilă revenire spre MA20 (mijlocul benzilor) în zilele imediat următoare.
CONCLUZIE: Semnalele sunt MIXTE — AȘTEPTARE recomandată.
Nu forța o tranzacție când piața nu are direcție clară. Cel mai bun trade uneori este să nu tranzacționezi.</t>
        </is>
      </c>
    </row>
    <row r="30" ht="18" customHeight="1" s="113">
      <c r="A30" s="184" t="inlineStr">
        <is>
          <t xml:space="preserve">  OPORTUNITATE DE TRADING</t>
        </is>
      </c>
    </row>
    <row r="31" ht="133" customHeight="1" s="113">
      <c r="A31" s="185" t="inlineStr">
        <is>
          <t>NU EXISTĂ OPORTUNITATE CLARĂ în acest moment.
Confluențe tehnice: 2/5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32" ht="18" customHeight="1" s="113">
      <c r="A32" s="184" t="inlineStr">
        <is>
          <t xml:space="preserve">  PATTERN GRAFIC DETECTAT</t>
        </is>
      </c>
    </row>
    <row r="33" ht="120" customHeight="1" s="113">
      <c r="A33" s="185" t="inlineStr">
        <is>
          <t>PATTERN ACTIV: GOLDEN CROSS
MA50 (22,931.29) &gt; MA200 (22,261.38) cu 3.01%.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t>
        </is>
      </c>
    </row>
    <row r="34" ht="18" customHeight="1" s="113">
      <c r="A34" s="184" t="inlineStr">
        <is>
          <t xml:space="preserve">  LECȚIA ZILEI</t>
        </is>
      </c>
    </row>
    <row r="35" ht="393" customHeight="1" s="113">
      <c r="A35" s="185" t="inlineStr">
        <is>
          <t xml:space="preserve">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
LECȚIE — GOLDEN CROSS: ÎNTÂRZIERE VS. ANTICIPARE:
Golden Cross este real și puternic, dar are un defect major: este un indicator LAGGING (cu întârziere). Apare DUPĂ ce prețul a urcat deja 10-30%.
Strategia amatorilor: cumpără exact la Golden Cross (prea târziu).
Strategia profesioniștilor: anticipează Golden Cross-ul.
Cum anticipezi:
  1. MA200 încetinește scăderea (se aplatizează)
  2. MA50 oprește scăderea și inversează
  3. RSI revine din sub 30 → zona 40-50
  4. MACD formează un bullish crossover la zero line
  5. Volumul crește pe zilele UP
Dacă bifezi 4 din 5 și Golden Cross nu s-a format încă — ACELA este momentul optim de cumpărare.</t>
        </is>
      </c>
    </row>
    <row r="36" ht="6" customHeight="1" s="113">
      <c r="A36" s="186" t="n"/>
      <c r="B36" s="186" t="n"/>
      <c r="C36" s="186" t="n"/>
    </row>
    <row r="38" ht="24" customHeight="1" s="113">
      <c r="A38" s="187" t="inlineStr">
        <is>
          <t xml:space="preserve">  Dow Jones   |   Preț: 46,208.4688   |   Zi: +1.38%   |   RSI: 28.7   |   Confluențe: 3/5   |   SEMNAL: BUY  </t>
        </is>
      </c>
    </row>
    <row r="39" ht="18" customHeight="1" s="113">
      <c r="A39" s="184" t="inlineStr">
        <is>
          <t xml:space="preserve">  DE CE S-A MIȘCAT ASTĂZI</t>
        </is>
      </c>
    </row>
    <row r="40" ht="250" customHeight="1" s="113">
      <c r="A40" s="185" t="inlineStr">
        <is>
          <t>Dow Jones a crescut moderat cu 1.38% astăzi (preț curent: 46,208.4688).
Pe săptămână: -1.67% | Pe lună: -6.03%.
Volum în linie cu media (0.9x) — nicio anomalie de participare.
RSI = 28.7 — ZONĂ SUPRAVÂNDUT (sub 30).
Activul a scăzut prea rapid și există presiune acumulată de cumpărare. Istoric, RSI sub 30 semnalează că prețul este 'ieftin' față de media sa. Nu înseamnă revenire imediată — poate rămâne sub 30 zile sau săptămâni — dar crește semnificativ probabilitatea unui bounce (recuperare) în zilele imediat următoare.
MACD negativ (histogram: -170.6904).
Presiunea de vânzare domină pe termen scurt. Fii precaut cu pozițiile long în acest context.
GOLDEN CROSS ACTIV: MA50 (48,681.68) &gt; MA200 (46,581.74).
Cea mai importantă configurație bullish pe termen mediu-lung. Fondurile de pensii, ETF-urile și robo-advisors cumpără automat la Golden Cross. Trendul major este ascendent — scăderile sunt oportunități de cumpărare, nu semnale de panică.
Prețul în interiorul Bollinger (45,184.6273 — 50,096.2336). Nicio extremă pentru moment, volatilitate normală.
CONCLUZIE: Configurația tehnică este FAVORABILĂ CUMPĂRĂRII.
Momentul tehnic este bun. Riscul principal: o deteriorare bruscă a sentimentului global (VIX spike, știri macro negative) poate invalida setup-ul. Respectă strict stop loss-ul!</t>
        </is>
      </c>
    </row>
    <row r="41" ht="18" customHeight="1" s="113">
      <c r="A41" s="184" t="inlineStr">
        <is>
          <t xml:space="preserve">  OPORTUNITATE DE TRADING</t>
        </is>
      </c>
    </row>
    <row r="42" ht="172" customHeight="1" s="113">
      <c r="A42" s="185" t="inlineStr">
        <is>
          <t>OPORTUNITATE DE CUMPĂRARE — 3 confluențe tehnice aliniate.
Probabilitate estimată de succes: 65%
PARAMETRI TRANZACȚIE:
  Entry (intrare recomandata) :  46,208.4688
  Stop Loss (SL)             :  45,051.1966     ← risc 2.5% din pozitie
  Take Profit (TP)           :  48,523.0131     ← recompensa 5.0%
  Risk/Reward Ratio          :  2.00x   BUN ★★
  ATR (volatilitate zilnica) :  771.5148
RR de 2.0x este solid și profesionist.
Cu un win rate de 40% și un RR constant de 2x, sistemul este matematic profitabil pe termen lung. Nu ceda tentației de a muta TP-ul prea devreme.</t>
        </is>
      </c>
    </row>
    <row r="43" ht="18" customHeight="1" s="113">
      <c r="A43" s="184" t="inlineStr">
        <is>
          <t xml:space="preserve">  PATTERN GRAFIC DETECTAT</t>
        </is>
      </c>
    </row>
    <row r="44" ht="185" customHeight="1" s="113">
      <c r="A44" s="185" t="inlineStr">
        <is>
          <t>PATTERN ACTIV: GOLDEN CROSS
MA50 (48,681.68) &gt; MA200 (46,581.74) cu 4.51%.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
PATTERN: STOCHASTIC OVERSOLD CROSSOVER
%K (24.1) a depășit %D (12.9) din zona sub 25.
Semnal clasic de cumpărare pe termen scurt (1-5 zile). Cel mai eficient în piețele laterale (sideways range). Mai puțin fiabil în downtrend-uri puternice.</t>
        </is>
      </c>
    </row>
    <row r="45" ht="18" customHeight="1" s="113">
      <c r="A45" s="184" t="inlineStr">
        <is>
          <t xml:space="preserve">  LECȚIA ZILEI</t>
        </is>
      </c>
    </row>
    <row r="46" ht="393" customHeight="1" s="113">
      <c r="A46" s="185" t="inlineStr">
        <is>
          <t xml:space="preserve">
─────────────────────────────────────────────LECȚIE — 'FALLING KNIFE': CUM NU TE RĂNEȘTI:
RSI sub 30 atrage mulți traderi cu gândul 'e ieftin, cumpăr acum'. Aceasta este CAPCANA clasică a prețului în scădere.
Regula: RSI sub 30 este o condiție NECESARĂ pentru un BUY, nu una SUFICIENTĂ. Ai nevoie de CONFIRMARE:
  1. Un candle bullish solid (Hammer, Pin Bar, Engulfing verde)
  2. MACD care formează un crossover bullish
  3. Un nivel clar de suport ținut (prețul respinge un nivel cheie)
  4. Volum scăzut pe continuarea scăderii (vânzătorii se epuizează)
Fără aceste confirmări, 'ieftin poate deveni și mai ieftin'.
LECȚIE — GOLDEN CROSS: ÎNTÂRZIERE VS. ANTICIPARE:
Golden Cross este real și puternic, dar are un defect major: este un indicator LAGGING (cu întârziere). Apare DUPĂ ce prețul a urcat deja 10-30%.
Strategia amatorilor: cumpără exact la Golden Cross (prea târziu).
Strategia profesioniștilor: anticipează Golden Cross-ul.
Cum anticipezi:
  1. MA200 încetinește scăderea (se aplatizează)
  2. MA50 oprește scăderea și inversează
  3. RSI revine din sub 30 → zona 40-50
  4. MACD formează un bullish crossover la zero line
  5. Volumul crește pe zilele UP
Dacă bifezi 4 din 5 și Golden Cross nu s-a format încă — ACELA este momentul optim de cumpărare.</t>
        </is>
      </c>
    </row>
    <row r="47" ht="6" customHeight="1" s="113">
      <c r="A47" s="186" t="n"/>
      <c r="B47" s="186" t="n"/>
      <c r="C47" s="186" t="n"/>
    </row>
    <row r="49" ht="24" customHeight="1" s="113">
      <c r="A49" s="183" t="inlineStr">
        <is>
          <t xml:space="preserve">  Russell 2000   |   Preț: 2,494.2273   |   Zi: +2.29%   |   RSI: 37.3   |   Confluențe: 1/5   |   SEMNAL: WAIT  </t>
        </is>
      </c>
    </row>
    <row r="50" ht="18" customHeight="1" s="113">
      <c r="A50" s="184" t="inlineStr">
        <is>
          <t xml:space="preserve">  DE CE S-A MIȘCAT ASTĂZI</t>
        </is>
      </c>
    </row>
    <row r="51" ht="263" customHeight="1" s="113">
      <c r="A51" s="185" t="inlineStr">
        <is>
          <t>Russell 2000 a crescut moderat cu 2.29% astăzi (preț curent: 2,494.2273).
Pe săptămână: -1.02% | Pe lună: -5.96%.
VOLUM SCĂZUT: 0.0x față de medie — ATENȚIE!
Mișcările pe volum mic sunt adesea false (fake moves). Marii jucători nu participă activ azi. Probabilitate crescută ca mișcarea să se inverseze sau să nu continue.
RSI = 37.3 — Zonă slabă dar fără extremă.
Vânzătorii domină încă, dar presiunea începe să scadă. Urmărește o stabilizare a prețului și un candle bullish de confirmare înainte de a considera o intrare long.
MACD negativ (histogram: -8.1155).
Presiunea de vânzare domină pe termen scurt. Fii precaut cu pozițiile long în acest context.
GOLDEN CROSS ACTIV: MA50 (2,615.47) &gt; MA200 (2,430.94).
Cea mai importantă configurație bullish pe termen mediu-lung. Fondurile de pensii, ETF-urile și robo-advisors cumpără automat la Golden Cross. Trendul major este ascendent — scăderile sunt oportunități de cumpărare, nu semnale de panică.
Prețul în interiorul Bollinger (2,410.9623 — 2,706.9865). Nicio extremă pentru moment, volatilitate normală.
CONCLUZIE: Semnalele sunt MIXTE — AȘTEPTARE recomandată.
Nu forța o tranzacție când piața nu are direcție clară. Cel mai bun trade uneori este să nu tranzacționezi.</t>
        </is>
      </c>
    </row>
    <row r="52" ht="18" customHeight="1" s="113">
      <c r="A52" s="184" t="inlineStr">
        <is>
          <t xml:space="preserve">  OPORTUNITATE DE TRADING</t>
        </is>
      </c>
    </row>
    <row r="53" ht="133" customHeight="1" s="113">
      <c r="A53" s="185" t="inlineStr">
        <is>
          <t>NU EXISTĂ OPORTUNITATE CLARĂ în acest moment.
Confluențe tehnice: 1/5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54" ht="18" customHeight="1" s="113">
      <c r="A54" s="184" t="inlineStr">
        <is>
          <t xml:space="preserve">  PATTERN GRAFIC DETECTAT</t>
        </is>
      </c>
    </row>
    <row r="55" ht="120" customHeight="1" s="113">
      <c r="A55" s="185" t="inlineStr">
        <is>
          <t>PATTERN ACTIV: GOLDEN CROSS
MA50 (2,615.47) &gt; MA200 (2,430.94) cu 7.59%.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t>
        </is>
      </c>
    </row>
    <row r="56" ht="18" customHeight="1" s="113">
      <c r="A56" s="184" t="inlineStr">
        <is>
          <t xml:space="preserve">  LECȚIA ZILEI</t>
        </is>
      </c>
    </row>
    <row r="57" ht="289" customHeight="1" s="113">
      <c r="A57" s="185" t="inlineStr">
        <is>
          <t xml:space="preserve">
─────────────────────────────────────────────LECȚIE — PUTEREA 'NU TRANZACȚIONEZ' :
Una dintre cele mai greu de aplicat lecții în trading este să nu faci nimic. Mulți traderi simt nevoia permanentă de a fi 'în piață'. Realitatea: marii profesioniști stau în cash sau neutral 60-70% din timp și atacă DOAR când setup-ul este perfect.
Jack Schwager, în cartea 'Market Wizards', a intervievat cei mai buni traderi din lume. Toți aveau în comun un lucru: SELECTIVITATE EXTREMĂ. Nu numărul de tranzacții te îmbogățește, ci CALITATEA lor.
Aplicare practică: stabilește-ți un checklist cu 5 condiții. Intri DOAR dacă toate 5 sunt bifate. Astăzi acest activ nu le bifează.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t>
        </is>
      </c>
    </row>
    <row r="58" ht="6" customHeight="1" s="113">
      <c r="A58" s="186" t="n"/>
      <c r="B58" s="186" t="n"/>
      <c r="C58" s="186" t="n"/>
    </row>
    <row r="60" ht="24" customHeight="1" s="113">
      <c r="A60" s="183" t="inlineStr">
        <is>
          <t xml:space="preserve">  DAX Germany   |   Preț: 22,653.8594   |   Zi: +1.22%   |   RSI: 36.5   |   Confluențe: 1/5   |   SEMNAL: WAIT  </t>
        </is>
      </c>
    </row>
    <row r="61" ht="18" customHeight="1" s="113">
      <c r="A61" s="184" t="inlineStr">
        <is>
          <t xml:space="preserve">  DE CE S-A MIȘCAT ASTĂZI</t>
        </is>
      </c>
    </row>
    <row r="62" ht="263" customHeight="1" s="113">
      <c r="A62" s="185" t="inlineStr">
        <is>
          <t>DAX Germany a crescut moderat cu 1.22% astăzi (preț curent: 22,653.8594).
Pe săptămână: -4.54% | Pe lună: -9.33%.
VOLUM SCĂZUT: 0.0x față de medie — ATENȚIE!
Mișcările pe volum mic sunt adesea false (fake moves). Marii jucători nu participă activ azi. Probabilitate crescută ca mișcarea să se inverseze sau să nu continue.
RSI = 36.5 — Zonă slabă dar fără extremă.
Vânzătorii domină încă, dar presiunea începe să scadă. Urmărește o stabilizare a prețului și un candle bullish de confirmare înainte de a considera o intrare long.
MACD negativ (histogram: -129.5412).
Presiunea de vânzare domină pe termen scurt. Fii precaut cu pozițiile long în acest context.
GOLDEN CROSS ACTIV: MA50 (24,494.63) &gt; MA200 (24,131.40).
Cea mai importantă configurație bullish pe termen mediu-lung. Fondurile de pensii, ETF-urile și robo-advisors cumpără automat la Golden Cross. Trendul major este ascendent — scăderile sunt oportunități de cumpărare, nu semnale de panică.
Prețul în interiorul Bollinger (22,202.1141 — 25,548.0874). Nicio extremă pentru moment, volatilitate normală.
CONCLUZIE: Semnalele sunt MIXTE — AȘTEPTARE recomandată.
Nu forța o tranzacție când piața nu are direcție clară. Cel mai bun trade uneori este să nu tranzacționezi.</t>
        </is>
      </c>
    </row>
    <row r="63" ht="18" customHeight="1" s="113">
      <c r="A63" s="184" t="inlineStr">
        <is>
          <t xml:space="preserve">  OPORTUNITATE DE TRADING</t>
        </is>
      </c>
    </row>
    <row r="64" ht="133" customHeight="1" s="113">
      <c r="A64" s="185" t="inlineStr">
        <is>
          <t>NU EXISTĂ OPORTUNITATE CLARĂ în acest moment.
Confluențe tehnice: 1/5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65" ht="18" customHeight="1" s="113">
      <c r="A65" s="184" t="inlineStr">
        <is>
          <t xml:space="preserve">  PATTERN GRAFIC DETECTAT</t>
        </is>
      </c>
    </row>
    <row r="66" ht="120" customHeight="1" s="113">
      <c r="A66" s="185" t="inlineStr">
        <is>
          <t>PATTERN ACTIV: GOLDEN CROSS
MA50 (24,494.63) &gt; MA200 (24,131.40) cu 1.51%.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t>
        </is>
      </c>
    </row>
    <row r="67" ht="18" customHeight="1" s="113">
      <c r="A67" s="184" t="inlineStr">
        <is>
          <t xml:space="preserve">  LECȚIA ZILEI</t>
        </is>
      </c>
    </row>
    <row r="68" ht="289" customHeight="1" s="113">
      <c r="A68" s="185" t="inlineStr">
        <is>
          <t xml:space="preserve">
─────────────────────────────────────────────LECȚIE — PUTEREA 'NU TRANZACȚIONEZ' :
Una dintre cele mai greu de aplicat lecții în trading este să nu faci nimic. Mulți traderi simt nevoia permanentă de a fi 'în piață'. Realitatea: marii profesioniști stau în cash sau neutral 60-70% din timp și atacă DOAR când setup-ul este perfect.
Jack Schwager, în cartea 'Market Wizards', a intervievat cei mai buni traderi din lume. Toți aveau în comun un lucru: SELECTIVITATE EXTREMĂ. Nu numărul de tranzacții te îmbogățește, ci CALITATEA lor.
Aplicare practică: stabilește-ți un checklist cu 5 condiții. Intri DOAR dacă toate 5 sunt bifate. Astăzi acest activ nu le bifează.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t>
        </is>
      </c>
    </row>
    <row r="69" ht="6" customHeight="1" s="113">
      <c r="A69" s="186" t="n"/>
      <c r="B69" s="186" t="n"/>
      <c r="C69" s="186" t="n"/>
    </row>
    <row r="71" ht="24" customHeight="1" s="113">
      <c r="A71" s="183" t="inlineStr">
        <is>
          <t xml:space="preserve">  FTSE 100   |   Preț: 9,894.1504   |   Zi: -0.24%   |   RSI: 28.4   |   Confluențe: 2/5   |   SEMNAL: WAIT  </t>
        </is>
      </c>
    </row>
    <row r="72" ht="18" customHeight="1" s="113">
      <c r="A72" s="184" t="inlineStr">
        <is>
          <t xml:space="preserve">  DE CE S-A MIȘCAT ASTĂZI</t>
        </is>
      </c>
    </row>
    <row r="73" ht="276" customHeight="1" s="113">
      <c r="A73" s="185" t="inlineStr">
        <is>
          <t>FTSE 100 a scăzut ușor cu 0.24% astăzi (preț curent: 9,894.1504).
Pe săptămână: -4.90% | Pe lună: -7.36%.
VOLUM SCĂZUT: 0.0x față de medie — ATENȚIE!
Mișcările pe volum mic sunt adesea false (fake moves). Marii jucători nu participă activ azi. Probabilitate crescută ca mișcarea să se inverseze sau să nu continue.
RSI = 28.4 — ZONĂ SUPRAVÂNDUT (sub 30).
Activul a scăzut prea rapid și există presiune acumulată de cumpărare. Istoric, RSI sub 30 semnalează că prețul este 'ieftin' față de media sa. Nu înseamnă revenire imediată — poate rămâne sub 30 zile sau săptămâni — dar crește semnificativ probabilitatea unui bounce (recuperare) în zilele imediat următoare.
MACD negativ (histogram: -69.7997).
Presiunea de vânzare domină pe termen scurt. Fii precaut cu pozițiile long în acest context.
GOLDEN CROSS ACTIV: MA50 (10,364.57) &gt; MA200 (9,614.89).
Cea mai importantă configurație bullish pe termen mediu-lung. Fondurile de pensii, ETF-urile și robo-advisors cumpără automat la Golden Cross. Trendul major este ascendent — scăderile sunt oportunități de cumpărare, nu semnale de panică.
PREȚ LA BANDA INFERIOARĂ Bollinger (9,839.1502).
Zonă de potențial suport tehnic. Statistic, 80% din oscilații rămân în interiorul benzilor. Posibilă revenire spre MA20 (mijlocul benzilor) în zilele imediat următoare.
CONCLUZIE: Semnalele sunt MIXTE — AȘTEPTARE recomandată.
Nu forța o tranzacție când piața nu are direcție clară. Cel mai bun trade uneori este să nu tranzacționezi.</t>
        </is>
      </c>
    </row>
    <row r="74" ht="18" customHeight="1" s="113">
      <c r="A74" s="184" t="inlineStr">
        <is>
          <t xml:space="preserve">  OPORTUNITATE DE TRADING</t>
        </is>
      </c>
    </row>
    <row r="75" ht="133" customHeight="1" s="113">
      <c r="A75" s="185" t="inlineStr">
        <is>
          <t>NU EXISTĂ OPORTUNITATE CLARĂ în acest moment.
Confluențe tehnice: 2/5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76" ht="18" customHeight="1" s="113">
      <c r="A76" s="184" t="inlineStr">
        <is>
          <t xml:space="preserve">  PATTERN GRAFIC DETECTAT</t>
        </is>
      </c>
    </row>
    <row r="77" ht="185" customHeight="1" s="113">
      <c r="A77" s="185" t="inlineStr">
        <is>
          <t>PATTERN ACTIV: GOLDEN CROSS
MA50 (10,364.57) &gt; MA200 (9,614.89) cu 7.80%.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
PATTERN: STOCHASTIC OVERSOLD CROSSOVER
%K (23.2) a depășit %D (10.2) din zona sub 25.
Semnal clasic de cumpărare pe termen scurt (1-5 zile). Cel mai eficient în piețele laterale (sideways range). Mai puțin fiabil în downtrend-uri puternice.</t>
        </is>
      </c>
    </row>
    <row r="78" ht="18" customHeight="1" s="113">
      <c r="A78" s="184" t="inlineStr">
        <is>
          <t xml:space="preserve">  LECȚIA ZILEI</t>
        </is>
      </c>
    </row>
    <row r="79" ht="315" customHeight="1" s="113">
      <c r="A79" s="185" t="inlineStr">
        <is>
          <t xml:space="preserve">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
LECȚIE — 'FOLLOW THE VOLUME':
Prețul poate fi manipulat, volumul nu minte.
O mișcare de preț pe volum sub 70% din medie este un semnal roșu. Poate fi manipulare de piață, poate fi o mișcare de 'thin market' (piață subțire în afara orelor principale), sau pur și simplu lipsă de interes real.
Regula de aur nr. 1 din trading: 'Nu cumpăra breakout-uri pe volum mic.'
Regula de aur nr. 2: 'Dacă prețul urcă pe volum scăzut, vânzătorii NU sunt convinși că e scump — cumpărătorii sunt cei care ridică prețul singuri.'</t>
        </is>
      </c>
    </row>
    <row r="80" ht="6" customHeight="1" s="113">
      <c r="A80" s="186" t="n"/>
      <c r="B80" s="186" t="n"/>
      <c r="C80" s="186" t="n"/>
    </row>
    <row r="82" ht="24" customHeight="1" s="113">
      <c r="A82" s="183" t="inlineStr">
        <is>
          <t xml:space="preserve">  CAC 40   |   Preț: 7,726.2002   |   Zi: +0.79%   |   RSI: 31.8   |   Confluențe: 2/5   |   SEMNAL: WAIT  </t>
        </is>
      </c>
    </row>
    <row r="83" ht="18" customHeight="1" s="113">
      <c r="A83" s="184" t="inlineStr">
        <is>
          <t xml:space="preserve">  DE CE S-A MIȘCAT ASTĂZI</t>
        </is>
      </c>
    </row>
    <row r="84" ht="263" customHeight="1" s="113">
      <c r="A84" s="185" t="inlineStr">
        <is>
          <t>CAC 40 a crescut ușor cu 0.79% astăzi (preț curent: 7,726.2002).
Pe săptămână: -3.11% | Pe lună: -9.31%.
VOLUM SCĂZUT: 0.0x față de medie — ATENȚIE!
Mișcările pe volum mic sunt adesea false (fake moves). Marii jucători nu participă activ azi. Probabilitate crescută ca mișcarea să se inverseze sau să nu continue.
RSI = 31.8 — Zonă slabă dar fără extremă.
Vânzătorii domină încă, dar presiunea începe să scadă. Urmărește o stabilizare a prețului și un candle bullish de confirmare înainte de a considera o intrare long.
MACD negativ (histogram: -41.5683).
Presiunea de vânzare domină pe termen scurt. Fii precaut cu pozițiile long în acest context.
GOLDEN CROSS ACTIV: MA50 (8,191.60) &gt; MA200 (7,994.49).
Cea mai importantă configurație bullish pe termen mediu-lung. Fondurile de pensii, ETF-urile și robo-advisors cumpără automat la Golden Cross. Trendul major este ascendent — scăderile sunt oportunități de cumpărare, nu semnale de panică.
Prețul în interiorul Bollinger (7,526.4452 — 8,671.1218). Nicio extremă pentru moment, volatilitate normală.
CONCLUZIE: Semnalele sunt MIXTE — AȘTEPTARE recomandată.
Nu forța o tranzacție când piața nu are direcție clară. Cel mai bun trade uneori este să nu tranzacționezi.</t>
        </is>
      </c>
    </row>
    <row r="85" ht="18" customHeight="1" s="113">
      <c r="A85" s="184" t="inlineStr">
        <is>
          <t xml:space="preserve">  OPORTUNITATE DE TRADING</t>
        </is>
      </c>
    </row>
    <row r="86" ht="133" customHeight="1" s="113">
      <c r="A86" s="185" t="inlineStr">
        <is>
          <t>NU EXISTĂ OPORTUNITATE CLARĂ în acest moment.
Confluențe tehnice: 2/5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87" ht="18" customHeight="1" s="113">
      <c r="A87" s="184" t="inlineStr">
        <is>
          <t xml:space="preserve">  PATTERN GRAFIC DETECTAT</t>
        </is>
      </c>
    </row>
    <row r="88" ht="120" customHeight="1" s="113">
      <c r="A88" s="185" t="inlineStr">
        <is>
          <t>PATTERN ACTIV: GOLDEN CROSS
MA50 (8,191.60) &gt; MA200 (7,994.49) cu 2.47%.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t>
        </is>
      </c>
    </row>
    <row r="89" ht="18" customHeight="1" s="113">
      <c r="A89" s="184" t="inlineStr">
        <is>
          <t xml:space="preserve">  LECȚIA ZILEI</t>
        </is>
      </c>
    </row>
    <row r="90" ht="315" customHeight="1" s="113">
      <c r="A90" s="185" t="inlineStr">
        <is>
          <t xml:space="preserve">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
LECȚIE — 'FOLLOW THE VOLUME':
Prețul poate fi manipulat, volumul nu minte.
O mișcare de preț pe volum sub 70% din medie este un semnal roșu. Poate fi manipulare de piață, poate fi o mișcare de 'thin market' (piață subțire în afara orelor principale), sau pur și simplu lipsă de interes real.
Regula de aur nr. 1 din trading: 'Nu cumpăra breakout-uri pe volum mic.'
Regula de aur nr. 2: 'Dacă prețul urcă pe volum scăzut, vânzătorii NU sunt convinși că e scump — cumpărătorii sunt cei care ridică prețul singuri.'</t>
        </is>
      </c>
    </row>
    <row r="91" ht="6" customHeight="1" s="113">
      <c r="A91" s="186" t="n"/>
      <c r="B91" s="186" t="n"/>
      <c r="C91" s="186" t="n"/>
    </row>
    <row r="93" ht="24" customHeight="1" s="113">
      <c r="A93" s="183" t="inlineStr">
        <is>
          <t xml:space="preserve">  Nikkei 225   |   Preț: 51,515.4883   |   Zi: -3.48%   |   RSI: 30.7   |   Confluențe: 2/5   |   SEMNAL: WAIT  </t>
        </is>
      </c>
    </row>
    <row r="94" ht="18" customHeight="1" s="113">
      <c r="A94" s="184" t="inlineStr">
        <is>
          <t xml:space="preserve">  DE CE S-A MIȘCAT ASTĂZI</t>
        </is>
      </c>
    </row>
    <row r="95" ht="354" customHeight="1" s="113">
      <c r="A95" s="185" t="inlineStr">
        <is>
          <t>Nikkei 225 a scăzut semnificativ cu 3.48% astăzi (preț curent: 51,515.4883).
Pe săptămână: -4.16% | Pe lună: -9.34%.
VOLUM SCĂZUT: 0.0x față de medie — ATENȚIE!
Mișcările pe volum mic sunt adesea false (fake moves). Marii jucători nu participă activ azi. Probabilitate crescută ca mișcarea să se inverseze sau să nu continue.
RSI = 30.7 — Zonă slabă dar fără extremă.
Vânzătorii domină încă, dar presiunea începe să scadă. Urmărește o stabilizare a prețului și un candle bullish de confirmare înainte de a considera o intrare long.
MACD negativ (histogram: -420.6794).
Presiunea de vânzare domină pe termen scurt. Fii precaut cu pozițiile long în acest context.
GOLDEN CROSS ACTIV: MA50 (54,762.15) &gt; MA200 (47,257.07).
Cea mai importantă configurație bullish pe termen mediu-lung. Fondurile de pensii, ETF-urile și robo-advisors cumpără automat la Golden Cross. Trendul major este ascendent — scăderile sunt oportunități de cumpărare, nu semnale de panică.
PREȚ LA BANDA INFERIOARĂ Bollinger (51,151.7137).
Zonă de potențial suport tehnic. Statistic, 80% din oscilații rămân în interiorul benzilor. Posibilă revenire spre MA20 (mijlocul benzilor) în zilele imediat următoare.
Stochastic %K = 11.5 — OVERSOLD (sub 20).
Presiune de vânzare excesivă pe termen scurt. Când %K depășește %D din jos în sus sub nivelul 20, este un semnal clasic de cumpărare pe termen scurt.
Momentum 10 zile: -7.38% — PUTERNIC NEGATIV.
Activul a pierdut teren consistent în ultimele 2 săptămâni. Trendul pe termen scurt este bearish solid.
CONCLUZIE: Semnalele sunt MIXTE — AȘTEPTARE recomandată.
Nu forța o tranzacție când piața nu are direcție clară. Cel mai bun trade uneori este să nu tranzacționezi.</t>
        </is>
      </c>
    </row>
    <row r="96" ht="18" customHeight="1" s="113">
      <c r="A96" s="184" t="inlineStr">
        <is>
          <t xml:space="preserve">  OPORTUNITATE DE TRADING</t>
        </is>
      </c>
    </row>
    <row r="97" ht="133" customHeight="1" s="113">
      <c r="A97" s="185" t="inlineStr">
        <is>
          <t>NU EXISTĂ OPORTUNITATE CLARĂ în acest moment.
Confluențe tehnice: 2/5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98" ht="18" customHeight="1" s="113">
      <c r="A98" s="184" t="inlineStr">
        <is>
          <t xml:space="preserve">  PATTERN GRAFIC DETECTAT</t>
        </is>
      </c>
    </row>
    <row r="99" ht="120" customHeight="1" s="113">
      <c r="A99" s="185" t="inlineStr">
        <is>
          <t>PATTERN ACTIV: GOLDEN CROSS
MA50 (54,762.15) &gt; MA200 (47,257.07) cu 15.88%.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t>
        </is>
      </c>
    </row>
    <row r="100" ht="18" customHeight="1" s="113">
      <c r="A100" s="184" t="inlineStr">
        <is>
          <t xml:space="preserve">  LECȚIA ZILEI</t>
        </is>
      </c>
    </row>
    <row r="101" ht="315" customHeight="1" s="113">
      <c r="A101" s="185" t="inlineStr">
        <is>
          <t xml:space="preserve">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
LECȚIE — 'FOLLOW THE VOLUME':
Prețul poate fi manipulat, volumul nu minte.
O mișcare de preț pe volum sub 70% din medie este un semnal roșu. Poate fi manipulare de piață, poate fi o mișcare de 'thin market' (piață subțire în afara orelor principale), sau pur și simplu lipsă de interes real.
Regula de aur nr. 1 din trading: 'Nu cumpăra breakout-uri pe volum mic.'
Regula de aur nr. 2: 'Dacă prețul urcă pe volum scăzut, vânzătorii NU sunt convinși că e scump — cumpărătorii sunt cei care ridică prețul singuri.'</t>
        </is>
      </c>
    </row>
    <row r="102" ht="6" customHeight="1" s="113">
      <c r="A102" s="186" t="n"/>
      <c r="B102" s="186" t="n"/>
      <c r="C102" s="186" t="n"/>
    </row>
    <row r="104" ht="24" customHeight="1" s="113">
      <c r="A104" s="187" t="inlineStr">
        <is>
          <t xml:space="preserve">  Shanghai Comp.   |   Preț: 3,813.2830   |   Zi: -3.63%   |   RSI: 18.6   |   Confluențe: 4/5   |   SEMNAL: BUY  </t>
        </is>
      </c>
    </row>
    <row r="105" ht="18" customHeight="1" s="113">
      <c r="A105" s="184" t="inlineStr">
        <is>
          <t xml:space="preserve">  DE CE S-A MIȘCAT ASTĂZI</t>
        </is>
      </c>
    </row>
    <row r="106" ht="354" customHeight="1" s="113">
      <c r="A106" s="185" t="inlineStr">
        <is>
          <t>Shanghai Comp. a scăzut semnificativ cu 3.63% astăzi (preț curent: 3,813.2830).
Pe săptămână: -5.84% | Pe lună: -7.39%.
VOLUM EXCEPȚIONAL: 19.9x față de media pe 20 de zile.
Mișcarea de astăzi este CONFIRMATĂ de participare instituțională. Volumul ridicat validează direcția — nu este o mișcare întâmplătoare. Fondurile, băncile și algos tranzacționează activ acest activ azi.
RSI = 18.6 — ZONĂ SUPRAVÂNDUT (sub 30).
Activul a scăzut prea rapid și există presiune acumulată de cumpărare. Istoric, RSI sub 30 semnalează că prețul este 'ieftin' față de media sa. Nu înseamnă revenire imediată — poate rămâne sub 30 zile sau săptămâni — dar crește semnificativ probabilitatea unui bounce (recuperare) în zilele imediat următoare.
MACD negativ (histogram: -29.2874).
Presiunea de vânzare domină pe termen scurt. Fii precaut cu pozițiile long în acest context.
GOLDEN CROSS ACTIV: MA50 (4,100.35) &gt; MA200 (3,828.74).
Cea mai importantă configurație bullish pe termen mediu-lung. Fondurile de pensii, ETF-urile și robo-advisors cumpără automat la Golden Cross. Trendul major este ascendent — scăderile sunt oportunități de cumpărare, nu semnale de panică.
PREȚ LA BANDA INFERIOARĂ Bollinger (3,920.7856).
Zonă de potențial suport tehnic. Statistic, 80% din oscilații rămân în interiorul benzilor. Posibilă revenire spre MA20 (mijlocul benzilor) în zilele imediat următoare.
Stochastic %K = 5.4 — OVERSOLD (sub 20).
Presiune de vânzare excesivă pe termen scurt. Când %K depășește %D din jos în sus sub nivelul 20, este un semnal clasic de cumpărare pe termen scurt.
Momentum 10 zile: -6.92% — PUTERNIC NEGATIV.
Activul a pierdut teren consistent în ultimele 2 săptămâni. Trendul pe termen scurt este bearish solid.
CONCLUZIE: Configurația tehnică este FAVORABILĂ CUMPĂRĂRII.
Momentul tehnic este bun. Riscul principal: o deteriorare bruscă a sentimentului global (VIX spike, știri macro negative) poate invalida setup-ul. Respectă strict stop loss-ul!</t>
        </is>
      </c>
    </row>
    <row r="107" ht="18" customHeight="1" s="113">
      <c r="A107" s="184" t="inlineStr">
        <is>
          <t xml:space="preserve">  OPORTUNITATE DE TRADING</t>
        </is>
      </c>
    </row>
    <row r="108" ht="211" customHeight="1" s="113">
      <c r="A108" s="185" t="inlineStr">
        <is>
          <t>OPORTUNITATE DE CUMPĂRARE — 4 confluențe tehnice aliniate.
Probabilitate estimată de succes: 80%
PARAMETRI TRANZACȚIE:
  Entry (intrare recomandata) :  3,813.2830
  Stop Loss (SL)             :  3,726.5911     ← risc 2.3% din pozitie
  Take Profit (TP)           :  3,986.6666     ← recompensa 4.5%
  Risk/Reward Ratio          :  2.00x   BUN ★★
  ATR (volatilitate zilnica) :  57.7946
RR de 2.0x este solid și profesionist.
Cu un win rate de 40% și un RR constant de 2x, sistemul este matematic profitabil pe termen lung. Nu ceda tentației de a muta TP-ul prea devreme.
BONUS CONFIRMARE: Volum excepțional (19.9x medie).
Volumul ridicat crește semnificativ credibilitatea semnalului. Mișcările cu volum mare sunt mult mai puțin susceptibile de a fi false. Acesta este un semnal de calitate superioară.</t>
        </is>
      </c>
    </row>
    <row r="109" ht="18" customHeight="1" s="113">
      <c r="A109" s="184" t="inlineStr">
        <is>
          <t xml:space="preserve">  PATTERN GRAFIC DETECTAT</t>
        </is>
      </c>
    </row>
    <row r="110" ht="328" customHeight="1" s="113">
      <c r="A110" s="185" t="inlineStr">
        <is>
          <t>PATTERN ACTIV: GOLDEN CROSS
MA50 (4,100.35) &gt; MA200 (3,828.74) cu 7.09%.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
PATTERN POSIBIL: SELLING CLIMAX
Scădere -3.6% + RSI 18.6 supravândut + Volum 19.9x.
CE ESTE:
Selling climax = momentul în care TOȚI cei care voiau să vândă AU VÂNDUT. Volumul mare la un minim + RSI extrem = potențial punct de inversare.
CUM ARATĂ PE GRAFIC:
Caută un candle cu FITIL LUNG în jos și ÎNCHIDERE APROAPE DE MAXIM. Acesta se numește 'Hammer' sau 'Pin Bar' și semnifică că bulls au preluat controlul în cursul zilei respective.
ATENȚIE: Nu este garantat. Confirmă cu volumul scăzut a doua zi (vânzătorii s-au epuizat) și un candle bullish ulterior.
PATTERN: STOCHASTIC OVERSOLD CROSSOVER
%K (5.4) a depășit %D (4.0) din zona sub 25.
Semnal clasic de cumpărare pe termen scurt (1-5 zile). Cel mai eficient în piețele laterale (sideways range). Mai puțin fiabil în downtrend-uri puternice.</t>
        </is>
      </c>
    </row>
    <row r="111" ht="18" customHeight="1" s="113">
      <c r="A111" s="184" t="inlineStr">
        <is>
          <t xml:space="preserve">  LECȚIA ZILEI</t>
        </is>
      </c>
    </row>
    <row r="112" ht="393" customHeight="1" s="113">
      <c r="A112" s="185" t="inlineStr">
        <is>
          <t xml:space="preserve">
─────────────────────────────────────────────LECȚIE — 'FALLING KNIFE': CUM NU TE RĂNEȘTI:
RSI sub 30 atrage mulți traderi cu gândul 'e ieftin, cumpăr acum'. Aceasta este CAPCANA clasică a prețului în scădere.
Regula: RSI sub 30 este o condiție NECESARĂ pentru un BUY, nu una SUFICIENTĂ. Ai nevoie de CONFIRMARE:
  1. Un candle bullish solid (Hammer, Pin Bar, Engulfing verde)
  2. MACD care formează un crossover bullish
  3. Un nivel clar de suport ținut (prețul respinge un nivel cheie)
  4. Volum scăzut pe continuarea scăderii (vânzătorii se epuizează)
Fără aceste confirmări, 'ieftin poate deveni și mai ieftin'.
LECȚIE — GOLDEN CROSS: ÎNTÂRZIERE VS. ANTICIPARE:
Golden Cross este real și puternic, dar are un defect major: este un indicator LAGGING (cu întârziere). Apare DUPĂ ce prețul a urcat deja 10-30%.
Strategia amatorilor: cumpără exact la Golden Cross (prea târziu).
Strategia profesioniștilor: anticipează Golden Cross-ul.
Cum anticipezi:
  1. MA200 încetinește scăderea (se aplatizează)
  2. MA50 oprește scăderea și inversează
  3. RSI revine din sub 30 → zona 40-50
  4. MACD formează un bullish crossover la zero line
  5. Volumul crește pe zilele UP
Dacă bifezi 4 din 5 și Golden Cross nu s-a format încă — ACELA este momentul optim de cumpărare.</t>
        </is>
      </c>
    </row>
    <row r="113" ht="6" customHeight="1" s="113">
      <c r="A113" s="186" t="n"/>
      <c r="B113" s="186" t="n"/>
      <c r="C113" s="186" t="n"/>
    </row>
    <row r="115" ht="24" customHeight="1" s="113">
      <c r="A115" s="183" t="inlineStr">
        <is>
          <t xml:space="preserve">  MSCI World ETF   |   Preț: 180.5400   |   Zi: +1.43%   |   RSI: 35.7   |   Confluențe: 2/5   |   SEMNAL: WAIT  </t>
        </is>
      </c>
    </row>
    <row r="116" ht="18" customHeight="1" s="113">
      <c r="A116" s="184" t="inlineStr">
        <is>
          <t xml:space="preserve">  DE CE S-A MIȘCAT ASTĂZI</t>
        </is>
      </c>
    </row>
    <row r="117" ht="250" customHeight="1" s="113">
      <c r="A117" s="185" t="inlineStr">
        <is>
          <t>MSCI World ETF a crescut moderat cu 1.43% astăzi (preț curent: 180.5400).
Pe săptămână: -2.14% | Pe lună: -5.36%.
Volum în linie cu media (0.9x) — nicio anomalie de participare.
RSI = 35.7 — Zonă slabă dar fără extremă.
Vânzătorii domină încă, dar presiunea începe să scadă. Urmărește o stabilizare a prețului și un candle bullish de confirmare înainte de a considera o intrare long.
MACD negativ (histogram: -0.7028).
Presiunea de vânzare domină pe termen scurt. Fii precaut cu pozițiile long în acest context.
GOLDEN CROSS ACTIV: MA50 (188.15) &gt; MA200 (179.63).
Cea mai importantă configurație bullish pe termen mediu-lung. Fondurile de pensii, ETF-urile și robo-advisors cumpără automat la Golden Cross. Trendul major este ascendent — scăderile sunt oportunități de cumpărare, nu semnale de panică.
Prețul în interiorul Bollinger (177.7658 — 194.0212). Nicio extremă pentru moment, volatilitate normală.
CONCLUZIE: Semnalele sunt MIXTE — AȘTEPTARE recomandată.
Nu forța o tranzacție când piața nu are direcție clară. Cel mai bun trade uneori este să nu tranzacționezi.</t>
        </is>
      </c>
    </row>
    <row r="118" ht="18" customHeight="1" s="113">
      <c r="A118" s="184" t="inlineStr">
        <is>
          <t xml:space="preserve">  OPORTUNITATE DE TRADING</t>
        </is>
      </c>
    </row>
    <row r="119" ht="133" customHeight="1" s="113">
      <c r="A119" s="185" t="inlineStr">
        <is>
          <t>NU EXISTĂ OPORTUNITATE CLARĂ în acest moment.
Confluențe tehnice: 2/5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120" ht="18" customHeight="1" s="113">
      <c r="A120" s="184" t="inlineStr">
        <is>
          <t xml:space="preserve">  PATTERN GRAFIC DETECTAT</t>
        </is>
      </c>
    </row>
    <row r="121" ht="120" customHeight="1" s="113">
      <c r="A121" s="185" t="inlineStr">
        <is>
          <t>PATTERN ACTIV: GOLDEN CROSS
MA50 (188.15) &gt; MA200 (179.63) cu 4.74%.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t>
        </is>
      </c>
    </row>
    <row r="122" ht="18" customHeight="1" s="113">
      <c r="A122" s="184" t="inlineStr">
        <is>
          <t xml:space="preserve">  LECȚIA ZILEI</t>
        </is>
      </c>
    </row>
    <row r="123" ht="393" customHeight="1" s="113">
      <c r="A123" s="185" t="inlineStr">
        <is>
          <t xml:space="preserve">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
LECȚIE — GOLDEN CROSS: ÎNTÂRZIERE VS. ANTICIPARE:
Golden Cross este real și puternic, dar are un defect major: este un indicator LAGGING (cu întârziere). Apare DUPĂ ce prețul a urcat deja 10-30%.
Strategia amatorilor: cumpără exact la Golden Cross (prea târziu).
Strategia profesioniștilor: anticipează Golden Cross-ul.
Cum anticipezi:
  1. MA200 încetinește scăderea (se aplatizează)
  2. MA50 oprește scăderea și inversează
  3. RSI revine din sub 30 → zona 40-50
  4. MACD formează un bullish crossover la zero line
  5. Volumul crește pe zilele UP
Dacă bifezi 4 din 5 și Golden Cross nu s-a format încă — ACELA este momentul optim de cumpărare.</t>
        </is>
      </c>
    </row>
    <row r="124" ht="6" customHeight="1" s="113">
      <c r="A124" s="186" t="n"/>
      <c r="B124" s="186" t="n"/>
      <c r="C124" s="186" t="n"/>
    </row>
    <row r="126" ht="24" customHeight="1" s="113">
      <c r="A126" s="183" t="inlineStr">
        <is>
          <t xml:space="preserve">  MSCI EM ETF   |   Preț: 57.3100   |   Zi: +3.00%   |   RSI: 45.6   |   Confluențe: 1/5   |   SEMNAL: WAIT  </t>
        </is>
      </c>
    </row>
    <row r="127" ht="18" customHeight="1" s="113">
      <c r="A127" s="184" t="inlineStr">
        <is>
          <t xml:space="preserve">  DE CE S-A MIȘCAT ASTĂZI</t>
        </is>
      </c>
    </row>
    <row r="128" ht="250" customHeight="1" s="113">
      <c r="A128" s="185" t="inlineStr">
        <is>
          <t>MSCI EM ETF a crescut semnificativ cu 3.00% astăzi (preț curent: 57.3100).
Pe săptămână: -2.45% | Pe lună: -8.48%.
Volum în linie cu media (1.1x) — nicio anomalie de participare.
RSI = 45.6 — Zonă NEUTRĂ.
Echilibru între cumpărători și vânzători. Piața caută direcție. Evita pozițiile mari până la o confirmare clară de trend.
MACD negativ (histogram: -0.2614).
Presiunea de vânzare domină pe termen scurt. Fii precaut cu pozițiile long în acest context.
GOLDEN CROSS ACTIV: MA50 (59.35) &gt; MA200 (53.25).
Cea mai importantă configurație bullish pe termen mediu-lung. Fondurile de pensii, ETF-urile și robo-advisors cumpără automat la Golden Cross. Trendul major este ascendent — scăderile sunt oportunități de cumpărare, nu semnale de panică.
Prețul în interiorul Bollinger (54.4727 — 63.5383). Nicio extremă pentru moment, volatilitate normală.
CONCLUZIE: Semnalele sunt MIXTE — AȘTEPTARE recomandată.
Nu forța o tranzacție când piața nu are direcție clară. Cel mai bun trade uneori este să nu tranzacționezi.</t>
        </is>
      </c>
    </row>
    <row r="129" ht="18" customHeight="1" s="113">
      <c r="A129" s="184" t="inlineStr">
        <is>
          <t xml:space="preserve">  OPORTUNITATE DE TRADING</t>
        </is>
      </c>
    </row>
    <row r="130" ht="133" customHeight="1" s="113">
      <c r="A130" s="185" t="inlineStr">
        <is>
          <t>NU EXISTĂ OPORTUNITATE CLARĂ în acest moment.
Confluențe tehnice: 1/5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131" ht="18" customHeight="1" s="113">
      <c r="A131" s="184" t="inlineStr">
        <is>
          <t xml:space="preserve">  PATTERN GRAFIC DETECTAT</t>
        </is>
      </c>
    </row>
    <row r="132" ht="120" customHeight="1" s="113">
      <c r="A132" s="185" t="inlineStr">
        <is>
          <t>PATTERN ACTIV: GOLDEN CROSS
MA50 (59.35) &gt; MA200 (53.25) cu 11.45%.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t>
        </is>
      </c>
    </row>
    <row r="133" ht="18" customHeight="1" s="113">
      <c r="A133" s="184" t="inlineStr">
        <is>
          <t xml:space="preserve">  LECȚIA ZILEI</t>
        </is>
      </c>
    </row>
    <row r="134" ht="289" customHeight="1" s="113">
      <c r="A134" s="185" t="inlineStr">
        <is>
          <t xml:space="preserve">
─────────────────────────────────────────────LECȚIE — PUTEREA 'NU TRANZACȚIONEZ' :
Una dintre cele mai greu de aplicat lecții în trading este să nu faci nimic. Mulți traderi simt nevoia permanentă de a fi 'în piață'. Realitatea: marii profesioniști stau în cash sau neutral 60-70% din timp și atacă DOAR când setup-ul este perfect.
Jack Schwager, în cartea 'Market Wizards', a intervievat cei mai buni traderi din lume. Toți aveau în comun un lucru: SELECTIVITATE EXTREMĂ. Nu numărul de tranzacții te îmbogățește, ci CALITATEA lor.
Aplicare practică: stabilește-ți un checklist cu 5 condiții. Intri DOAR dacă toate 5 sunt bifate. Astăzi acest activ nu le bifează.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t>
        </is>
      </c>
    </row>
    <row r="135" ht="6" customHeight="1" s="113">
      <c r="A135" s="186" t="n"/>
      <c r="B135" s="186" t="n"/>
      <c r="C135" s="186" t="n"/>
    </row>
    <row r="138" ht="28" customHeight="1" s="113">
      <c r="A138" s="182" t="inlineStr">
        <is>
          <t xml:space="preserve">  ══════  ACTIUNI &amp; ETF  ══════</t>
        </is>
      </c>
    </row>
    <row r="140" ht="24" customHeight="1" s="113">
      <c r="A140" s="183" t="inlineStr">
        <is>
          <t xml:space="preserve">  Microsoft   |   Preț: 383.0000   |   Zi: +0.30%   |   RSI: 27.4   |   Confluențe: 1/5   |   SEMNAL: WAIT  </t>
        </is>
      </c>
    </row>
    <row r="141" ht="18" customHeight="1" s="113">
      <c r="A141" s="184" t="inlineStr">
        <is>
          <t xml:space="preserve">  DE CE S-A MIȘCAT ASTĂZI</t>
        </is>
      </c>
    </row>
    <row r="142" ht="341" customHeight="1" s="113">
      <c r="A142" s="185" t="inlineStr">
        <is>
          <t>Microsoft a crescut ușor cu 0.30% astăzi (preț curent: 383.0000).
Pe săptămână: -4.11% | Pe lună: -1.54%.
Volum în linie cu media (0.8x) — nicio anomalie de participare.
RSI = 27.4 — ZONĂ SUPRAVÂNDUT (sub 30).
Activul a scăzut prea rapid și există presiune acumulată de cumpărare. Istoric, RSI sub 30 semnalează că prețul este 'ieftin' față de media sa. Nu înseamnă revenire imediată — poate rămâne sub 30 zile sau săptămâni — dar crește semnificativ probabilitatea unui bounce (recuperare) în zilele imediat următoare.
MACD negativ (histogram: -0.6500).
Presiunea de vânzare domină pe termen scurt. Fii precaut cu pozițiile long în acest context.
DEATH CROSS ACTIV: MA50 (418.33) &lt; MA200 (479.40).
Semnal bearish major pe termen mediu-lung. Mulți investitori instituționali reduc expunerea automat la Death Cross. Creșterile temporare pot fi oportunități de vânzare (short) sau ieșire din poziții long.
PREȚ LA BANDA INFERIOARĂ Bollinger (381.7939).
Zonă de potențial suport tehnic. Statistic, 80% din oscilații rămân în interiorul benzilor. Posibilă revenire spre MA20 (mijlocul benzilor) în zilele imediat următoare.
Stochastic %K = 8.8 — OVERSOLD (sub 20).
Presiune de vânzare excesivă pe termen scurt. Când %K depășește %D din jos în sus sub nivelul 20, este un semnal clasic de cumpărare pe termen scurt.
Momentum 10 zile: -6.45% — PUTERNIC NEGATIV.
Activul a pierdut teren consistent în ultimele 2 săptămâni. Trendul pe termen scurt este bearish solid.
CONCLUZIE: Semnalele sunt MIXTE — AȘTEPTARE recomandată.
Nu forța o tranzacție când piața nu are direcție clară. Cel mai bun trade uneori este să nu tranzacționezi.</t>
        </is>
      </c>
    </row>
    <row r="143" ht="18" customHeight="1" s="113">
      <c r="A143" s="184" t="inlineStr">
        <is>
          <t xml:space="preserve">  OPORTUNITATE DE TRADING</t>
        </is>
      </c>
    </row>
    <row r="144" ht="133" customHeight="1" s="113">
      <c r="A144" s="185" t="inlineStr">
        <is>
          <t>NU EXISTĂ OPORTUNITATE CLARĂ în acest moment.
Confluențe tehnice: 1/5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145" ht="18" customHeight="1" s="113">
      <c r="A145" s="184" t="inlineStr">
        <is>
          <t xml:space="preserve">  PATTERN GRAFIC DETECTAT</t>
        </is>
      </c>
    </row>
    <row r="146" ht="185" customHeight="1" s="113">
      <c r="A146" s="185" t="inlineStr">
        <is>
          <t>PATTERN ACTIV: DEATH CROSS
MA50 (418.33) &lt; MA200 (479.40) cu 12.74%.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
PATTERN: STOCHASTIC OVERSOLD CROSSOVER
%K (8.8) a depășit %D (7.2) din zona sub 25.
Semnal clasic de cumpărare pe termen scurt (1-5 zile). Cel mai eficient în piețele laterale (sideways range). Mai puțin fiabil în downtrend-uri puternice.</t>
        </is>
      </c>
    </row>
    <row r="147" ht="18" customHeight="1" s="113">
      <c r="A147" s="184" t="inlineStr">
        <is>
          <t xml:space="preserve">  LECȚIA ZILEI</t>
        </is>
      </c>
    </row>
    <row r="148" ht="289" customHeight="1" s="113">
      <c r="A148" s="185" t="inlineStr">
        <is>
          <t xml:space="preserve">
─────────────────────────────────────────────LECȚIE — PUTEREA 'NU TRANZACȚIONEZ' :
Una dintre cele mai greu de aplicat lecții în trading este să nu faci nimic. Mulți traderi simt nevoia permanentă de a fi 'în piață'. Realitatea: marii profesioniști stau în cash sau neutral 60-70% din timp și atacă DOAR când setup-ul este perfect.
Jack Schwager, în cartea 'Market Wizards', a intervievat cei mai buni traderi din lume. Toți aveau în comun un lucru: SELECTIVITATE EXTREMĂ. Nu numărul de tranzacții te îmbogățește, ci CALITATEA lor.
Aplicare practică: stabilește-ți un checklist cu 5 condiții. Intri DOAR dacă toate 5 sunt bifate. Astăzi acest activ nu le bifează.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t>
        </is>
      </c>
    </row>
    <row r="149" ht="6" customHeight="1" s="113">
      <c r="A149" s="186" t="n"/>
      <c r="B149" s="186" t="n"/>
      <c r="C149" s="186" t="n"/>
    </row>
    <row r="151" ht="24" customHeight="1" s="113">
      <c r="A151" s="183" t="inlineStr">
        <is>
          <t xml:space="preserve">  NVIDIA   |   Preț: 175.6400   |   Zi: +1.70%   |   RSI: 44.4   |   Confluențe: 2/5   |   SEMNAL: WAIT  </t>
        </is>
      </c>
    </row>
    <row r="152" ht="18" customHeight="1" s="113">
      <c r="A152" s="184" t="inlineStr">
        <is>
          <t xml:space="preserve">  DE CE S-A MIȘCAT ASTĂZI</t>
        </is>
      </c>
    </row>
    <row r="153" ht="250" customHeight="1" s="113">
      <c r="A153" s="185" t="inlineStr">
        <is>
          <t>NVIDIA a crescut moderat cu 1.70% astăzi (preț curent: 175.6400).
Pe săptămână: -3.46% | Pe lună: -8.92%.
Volum în linie cu media (0.9x) — nicio anomalie de participare.
RSI = 44.4 — Zonă NEUTRĂ.
Echilibru între cumpărători și vânzători. Piața caută direcție. Evita pozițiile mari până la o confirmare clară de trend.
MACD negativ (histogram: -0.8723).
Presiunea de vânzare domină pe termen scurt. Fii precaut cu pozițiile long în acest context.
GOLDEN CROSS ACTIV: MA50 (184.40) &gt; MA200 (178.59).
Cea mai importantă configurație bullish pe termen mediu-lung. Fondurile de pensii, ETF-urile și robo-advisors cumpără automat la Golden Cross. Trendul major este ascendent — scăderile sunt oportunități de cumpărare, nu semnale de panică.
Prețul în interiorul Bollinger (171.7923 — 192.8478). Nicio extremă pentru moment, volatilitate normală.
CONCLUZIE: Semnalele sunt MIXTE — AȘTEPTARE recomandată.
Nu forța o tranzacție când piața nu are direcție clară. Cel mai bun trade uneori este să nu tranzacționezi.</t>
        </is>
      </c>
    </row>
    <row r="154" ht="18" customHeight="1" s="113">
      <c r="A154" s="184" t="inlineStr">
        <is>
          <t xml:space="preserve">  OPORTUNITATE DE TRADING</t>
        </is>
      </c>
    </row>
    <row r="155" ht="133" customHeight="1" s="113">
      <c r="A155" s="185" t="inlineStr">
        <is>
          <t>NU EXISTĂ OPORTUNITATE CLARĂ în acest moment.
Confluențe tehnice: 2/5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156" ht="18" customHeight="1" s="113">
      <c r="A156" s="184" t="inlineStr">
        <is>
          <t xml:space="preserve">  PATTERN GRAFIC DETECTAT</t>
        </is>
      </c>
    </row>
    <row r="157" ht="185" customHeight="1" s="113">
      <c r="A157" s="185" t="inlineStr">
        <is>
          <t>PATTERN ACTIV: GOLDEN CROSS
MA50 (184.40) &gt; MA200 (178.59) cu 3.26%.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
PATTERN: STOCHASTIC OVERSOLD CROSSOVER
%K (22.8) a depășit %D (18.7) din zona sub 25.
Semnal clasic de cumpărare pe termen scurt (1-5 zile). Cel mai eficient în piețele laterale (sideways range). Mai puțin fiabil în downtrend-uri puternice.</t>
        </is>
      </c>
    </row>
    <row r="158" ht="18" customHeight="1" s="113">
      <c r="A158" s="184" t="inlineStr">
        <is>
          <t xml:space="preserve">  LECȚIA ZILEI</t>
        </is>
      </c>
    </row>
    <row r="159" ht="393" customHeight="1" s="113">
      <c r="A159" s="185" t="inlineStr">
        <is>
          <t xml:space="preserve">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
LECȚIE — GOLDEN CROSS: ÎNTÂRZIERE VS. ANTICIPARE:
Golden Cross este real și puternic, dar are un defect major: este un indicator LAGGING (cu întârziere). Apare DUPĂ ce prețul a urcat deja 10-30%.
Strategia amatorilor: cumpără exact la Golden Cross (prea târziu).
Strategia profesioniștilor: anticipează Golden Cross-ul.
Cum anticipezi:
  1. MA200 încetinește scăderea (se aplatizează)
  2. MA50 oprește scăderea și inversează
  3. RSI revine din sub 30 → zona 40-50
  4. MACD formează un bullish crossover la zero line
  5. Volumul crește pe zilele UP
Dacă bifezi 4 din 5 și Golden Cross nu s-a format încă — ACELA este momentul optim de cumpărare.</t>
        </is>
      </c>
    </row>
    <row r="160" ht="6" customHeight="1" s="113">
      <c r="A160" s="186" t="n"/>
      <c r="B160" s="186" t="n"/>
      <c r="C160" s="186" t="n"/>
    </row>
    <row r="162" ht="24" customHeight="1" s="113">
      <c r="A162" s="187" t="inlineStr">
        <is>
          <t xml:space="preserve">  Alphabet   |   Preț: 302.0600   |   Zi: +0.35%   |   RSI: 48.4   |   Confluențe: 3/5   |   SEMNAL: BUY  </t>
        </is>
      </c>
    </row>
    <row r="163" ht="18" customHeight="1" s="113">
      <c r="A163" s="184" t="inlineStr">
        <is>
          <t xml:space="preserve">  DE CE S-A MIȘCAT ASTĂZI</t>
        </is>
      </c>
    </row>
    <row r="164" ht="250" customHeight="1" s="113">
      <c r="A164" s="185" t="inlineStr">
        <is>
          <t>Alphabet a crescut ușor cu 0.35% astăzi (preț curent: 302.0600).
Pe săptămână: -2.85% | Pe lună: -2.77%.
Volum în linie cu media (0.9x) — nicio anomalie de participare.
RSI = 48.4 — Zonă NEUTRĂ.
Echilibru între cumpărători și vânzători. Piața caută direcție. Evita pozițiile mari până la o confirmare clară de trend.
MACD pozitiv și crescător (histogram: +0.3951).
Momentumul bullish se menține, fără un crossover proaspăt. Trendul continuă dar fără accelerare nouă.
GOLDEN CROSS ACTIV: MA50 (317.34) &gt; MA200 (260.22).
Cea mai importantă configurație bullish pe termen mediu-lung. Fondurile de pensii, ETF-urile și robo-advisors cumpără automat la Golden Cross. Trendul major este ascendent — scăderile sunt oportunități de cumpărare, nu semnale de panică.
Prețul în interiorul Bollinger (297.8588 — 313.7334). Nicio extremă pentru moment, volatilitate normală.
CONCLUZIE: Configurația tehnică este FAVORABILĂ CUMPĂRĂRII.
Momentul tehnic este bun. Riscul principal: o deteriorare bruscă a sentimentului global (VIX spike, știri macro negative) poate invalida setup-ul. Respectă strict stop loss-ul!</t>
        </is>
      </c>
    </row>
    <row r="165" ht="18" customHeight="1" s="113">
      <c r="A165" s="184" t="inlineStr">
        <is>
          <t xml:space="preserve">  OPORTUNITATE DE TRADING</t>
        </is>
      </c>
    </row>
    <row r="166" ht="172" customHeight="1" s="113">
      <c r="A166" s="185" t="inlineStr">
        <is>
          <t>OPORTUNITATE DE CUMPĂRARE — 3 confluențe tehnice aliniate.
Probabilitate estimată de succes: 65%
PARAMETRI TRANZACȚIE:
  Entry (intrare recomandata) :  302.0600
  Stop Loss (SL)             :  292.5973     ← risc 3.1% din pozitie
  Take Profit (TP)           :  320.9855     ← recompensa 6.3%
  Risk/Reward Ratio          :  2.00x   BUN ★★
  ATR (volatilitate zilnica) :  6.3085
RR de 2.0x este solid și profesionist.
Cu un win rate de 40% și un RR constant de 2x, sistemul este matematic profitabil pe termen lung. Nu ceda tentației de a muta TP-ul prea devreme.</t>
        </is>
      </c>
    </row>
    <row r="167" ht="18" customHeight="1" s="113">
      <c r="A167" s="184" t="inlineStr">
        <is>
          <t xml:space="preserve">  PATTERN GRAFIC DETECTAT</t>
        </is>
      </c>
    </row>
    <row r="168" ht="120" customHeight="1" s="113">
      <c r="A168" s="185" t="inlineStr">
        <is>
          <t>PATTERN ACTIV: GOLDEN CROSS
MA50 (317.34) &gt; MA200 (260.22) cu 21.95%.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t>
        </is>
      </c>
    </row>
    <row r="169" ht="18" customHeight="1" s="113">
      <c r="A169" s="184" t="inlineStr">
        <is>
          <t xml:space="preserve">  LECȚIA ZILEI</t>
        </is>
      </c>
    </row>
    <row r="170" ht="393" customHeight="1" s="113">
      <c r="A170" s="185" t="inlineStr">
        <is>
          <t xml:space="preserve">
─────────────────────────────────────────────LECȚIE — GOLDEN CROSS: ÎNTÂRZIERE VS. ANTICIPARE:
Golden Cross este real și puternic, dar are un defect major: este un indicator LAGGING (cu întârziere). Apare DUPĂ ce prețul a urcat deja 10-30%.
Strategia amatorilor: cumpără exact la Golden Cross (prea târziu).
Strategia profesioniștilor: anticipează Golden Cross-ul.
Cum anticipezi:
  1. MA200 încetinește scăderea (se aplatizează)
  2. MA50 oprește scăderea și inversează
  3. RSI revine din sub 30 → zona 40-50
  4. MACD formează un bullish crossover la zero line
  5. Volumul crește pe zilele UP
Dacă bifezi 4 din 5 și Golden Cross nu s-a format încă — ACELA este momentul optim de cumpărare.
LECȚIE PSIHOLOGIE — EMOȚIILE ȘI PIERDEREA BANILOR:
Studiile arată că durerea unei pierderi de 100 lei este psihologic de 2x mai intensă decât bucuria unui câștig de 100 lei (Loss Aversion, Daniel Kahneman, Nobel 2002).
Cum afectează trading-ul:
  1. Ții pozițiile perdante prea mult ('o să revină')
  2. Vinzi pozițiile câștigătoare prea repede (frică să nu pierzi profitul)
  3. Dublezi pe pierdere pentru a 'recupera' (averaging down neselectiv)
  4. Faci revenge trading după o pierdere (emoție, nu analiză)
Soluția: PLAN SCRIS înainte de intrare. Entry, SL, TP, sizing — scrise pe hârtie sau în jurnal ÎNAINTE de a deschide poziția. Odată în poziție, lăsă planul să lucreze, nu emoțiile.</t>
        </is>
      </c>
    </row>
    <row r="171" ht="6" customHeight="1" s="113">
      <c r="A171" s="186" t="n"/>
      <c r="B171" s="186" t="n"/>
      <c r="C171" s="186" t="n"/>
    </row>
    <row r="173" ht="24" customHeight="1" s="113">
      <c r="A173" s="183" t="inlineStr">
        <is>
          <t xml:space="preserve">  Amazon   |   Preț: 210.1400   |   Zi: +2.32%   |   RSI: 51.5   |   Confluențe: 1/5   |   SEMNAL: WAIT  </t>
        </is>
      </c>
    </row>
    <row r="174" ht="18" customHeight="1" s="113">
      <c r="A174" s="184" t="inlineStr">
        <is>
          <t xml:space="preserve">  DE CE S-A MIȘCAT ASTĂZI</t>
        </is>
      </c>
    </row>
    <row r="175" ht="250" customHeight="1" s="113">
      <c r="A175" s="185" t="inlineStr">
        <is>
          <t>Amazon a crescut moderat cu 2.32% astăzi (preț curent: 210.1400).
Pe săptămână: -2.35% | Pe lună: +0.76%.
Volum în linie cu media (1.0x) — nicio anomalie de participare.
RSI = 51.5 — Zonă NEUTRĂ.
Echilibru între cumpărători și vânzători. Piața caută direcție. Evita pozițiile mari până la o confirmare clară de trend.
MACD pozitiv și crescător (histogram: +0.2783).
Momentumul bullish se menține, fără un crossover proaspăt. Trendul continuă dar fără accelerare nouă.
DEATH CROSS ACTIV: MA50 (220.14) &lt; MA200 (224.83).
Semnal bearish major pe termen mediu-lung. Mulți investitori instituționali reduc expunerea automat la Death Cross. Creșterile temporare pot fi oportunități de vânzare (short) sau ieșire din poziții long.
Prețul în interiorul Bollinger (204.2874 — 217.9086). Nicio extremă pentru moment, volatilitate normală.
CONCLUZIE: Semnalele sunt MIXTE — AȘTEPTARE recomandată.
Nu forța o tranzacție când piața nu are direcție clară. Cel mai bun trade uneori este să nu tranzacționezi.</t>
        </is>
      </c>
    </row>
    <row r="176" ht="18" customHeight="1" s="113">
      <c r="A176" s="184" t="inlineStr">
        <is>
          <t xml:space="preserve">  OPORTUNITATE DE TRADING</t>
        </is>
      </c>
    </row>
    <row r="177" ht="133" customHeight="1" s="113">
      <c r="A177" s="185" t="inlineStr">
        <is>
          <t>NU EXISTĂ OPORTUNITATE CLARĂ în acest moment.
Confluențe tehnice: 1/5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178" ht="18" customHeight="1" s="113">
      <c r="A178" s="184" t="inlineStr">
        <is>
          <t xml:space="preserve">  PATTERN GRAFIC DETECTAT</t>
        </is>
      </c>
    </row>
    <row r="179" ht="120" customHeight="1" s="113">
      <c r="A179" s="185" t="inlineStr">
        <is>
          <t>PATTERN ACTIV: DEATH CROSS
MA50 (220.14) &lt; MA200 (224.83) cu 2.08%.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t>
        </is>
      </c>
    </row>
    <row r="180" ht="18" customHeight="1" s="113">
      <c r="A180" s="184" t="inlineStr">
        <is>
          <t xml:space="preserve">  LECȚIA ZILEI</t>
        </is>
      </c>
    </row>
    <row r="181" ht="289" customHeight="1" s="113">
      <c r="A181" s="185" t="inlineStr">
        <is>
          <t xml:space="preserve">
─────────────────────────────────────────────LECȚIE — PUTEREA 'NU TRANZACȚIONEZ' :
Una dintre cele mai greu de aplicat lecții în trading este să nu faci nimic. Mulți traderi simt nevoia permanentă de a fi 'în piață'. Realitatea: marii profesioniști stau în cash sau neutral 60-70% din timp și atacă DOAR când setup-ul este perfect.
Jack Schwager, în cartea 'Market Wizards', a intervievat cei mai buni traderi din lume. Toți aveau în comun un lucru: SELECTIVITATE EXTREMĂ. Nu numărul de tranzacții te îmbogățește, ci CALITATEA lor.
Aplicare practică: stabilește-ți un checklist cu 5 condiții. Intri DOAR dacă toate 5 sunt bifate. Astăzi acest activ nu le bifează.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t>
        </is>
      </c>
    </row>
    <row r="182" ht="6" customHeight="1" s="113">
      <c r="A182" s="186" t="n"/>
      <c r="B182" s="186" t="n"/>
      <c r="C182" s="186" t="n"/>
    </row>
    <row r="184" ht="24" customHeight="1" s="113">
      <c r="A184" s="183" t="inlineStr">
        <is>
          <t xml:space="preserve">  Meta   |   Preț: 604.0600   |   Zi: +1.75%   |   RSI: 32.6   |   Confluențe: 1/5   |   SEMNAL: WAIT  </t>
        </is>
      </c>
    </row>
    <row r="185" ht="18" customHeight="1" s="113">
      <c r="A185" s="184" t="inlineStr">
        <is>
          <t xml:space="preserve">  DE CE S-A MIȘCAT ASTĂZI</t>
        </is>
      </c>
    </row>
    <row r="186" ht="328" customHeight="1" s="113">
      <c r="A186" s="185" t="inlineStr">
        <is>
          <t>Meta a crescut moderat cu 1.75% astăzi (preț curent: 604.0600).
Pe săptămână: -2.99% | Pe lună: -5.43%.
Volum în linie cu media (1.0x) — nicio anomalie de participare.
RSI = 32.6 — Zonă slabă dar fără extremă.
Vânzătorii domină încă, dar presiunea începe să scadă. Urmărește o stabilizare a prețului și un candle bullish de confirmare înainte de a considera o intrare long.
MACD negativ (histogram: -4.7432).
Presiunea de vânzare domină pe termen scurt. Fii precaut cu pozițiile long în acest context.
DEATH CROSS ACTIV: MA50 (648.68) &lt; MA200 (689.03).
Semnal bearish major pe termen mediu-lung. Mulți investitori instituționali reduc expunerea automat la Death Cross. Creșterile temporare pot fi oportunități de vânzare (short) sau ieșire din poziții long.
Prețul în interiorul Bollinger (594.8009 — 680.2617). Nicio extremă pentru moment, volatilitate normală.
Stochastic %K = 19.8 — OVERSOLD (sub 20).
Presiune de vânzare excesivă pe termen scurt. Când %K depășește %D din jos în sus sub nivelul 20, este un semnal clasic de cumpărare pe termen scurt.
Momentum 10 zile: -6.61% — PUTERNIC NEGATIV.
Activul a pierdut teren consistent în ultimele 2 săptămâni. Trendul pe termen scurt este bearish solid.
CONCLUZIE: Semnalele sunt MIXTE — AȘTEPTARE recomandată.
Nu forța o tranzacție când piața nu are direcție clară. Cel mai bun trade uneori este să nu tranzacționezi.</t>
        </is>
      </c>
    </row>
    <row r="187" ht="18" customHeight="1" s="113">
      <c r="A187" s="184" t="inlineStr">
        <is>
          <t xml:space="preserve">  OPORTUNITATE DE TRADING</t>
        </is>
      </c>
    </row>
    <row r="188" ht="133" customHeight="1" s="113">
      <c r="A188" s="185" t="inlineStr">
        <is>
          <t>NU EXISTĂ OPORTUNITATE CLARĂ în acest moment.
Confluențe tehnice: 1/5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189" ht="18" customHeight="1" s="113">
      <c r="A189" s="184" t="inlineStr">
        <is>
          <t xml:space="preserve">  PATTERN GRAFIC DETECTAT</t>
        </is>
      </c>
    </row>
    <row r="190" ht="185" customHeight="1" s="113">
      <c r="A190" s="185" t="inlineStr">
        <is>
          <t>PATTERN ACTIV: DEATH CROSS
MA50 (648.68) &lt; MA200 (689.03) cu 5.86%.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
PATTERN: STOCHASTIC OVERSOLD CROSSOVER
%K (19.8) a depășit %D (11.2) din zona sub 25.
Semnal clasic de cumpărare pe termen scurt (1-5 zile). Cel mai eficient în piețele laterale (sideways range). Mai puțin fiabil în downtrend-uri puternice.</t>
        </is>
      </c>
    </row>
    <row r="191" ht="18" customHeight="1" s="113">
      <c r="A191" s="184" t="inlineStr">
        <is>
          <t xml:space="preserve">  LECȚIA ZILEI</t>
        </is>
      </c>
    </row>
    <row r="192" ht="289" customHeight="1" s="113">
      <c r="A192" s="185" t="inlineStr">
        <is>
          <t xml:space="preserve">
─────────────────────────────────────────────LECȚIE — PUTEREA 'NU TRANZACȚIONEZ' :
Una dintre cele mai greu de aplicat lecții în trading este să nu faci nimic. Mulți traderi simt nevoia permanentă de a fi 'în piață'. Realitatea: marii profesioniști stau în cash sau neutral 60-70% din timp și atacă DOAR când setup-ul este perfect.
Jack Schwager, în cartea 'Market Wizards', a intervievat cei mai buni traderi din lume. Toți aveau în comun un lucru: SELECTIVITATE EXTREMĂ. Nu numărul de tranzacții te îmbogățește, ci CALITATEA lor.
Aplicare practică: stabilește-ți un checklist cu 5 condiții. Intri DOAR dacă toate 5 sunt bifate. Astăzi acest activ nu le bifează.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t>
        </is>
      </c>
    </row>
    <row r="193" ht="6" customHeight="1" s="113">
      <c r="A193" s="186" t="n"/>
      <c r="B193" s="186" t="n"/>
      <c r="C193" s="186" t="n"/>
    </row>
    <row r="195" ht="24" customHeight="1" s="113">
      <c r="A195" s="183" t="inlineStr">
        <is>
          <t xml:space="preserve">  Tesla   |   Preț: 380.8500   |   Zi: +3.50%   |   RSI: 44.4   |   Confluențe: 2/5   |   SEMNAL: WAIT  </t>
        </is>
      </c>
    </row>
    <row r="196" ht="18" customHeight="1" s="113">
      <c r="A196" s="184" t="inlineStr">
        <is>
          <t xml:space="preserve">  DE CE S-A MIȘCAT ASTĂZI</t>
        </is>
      </c>
    </row>
    <row r="197" ht="250" customHeight="1" s="113">
      <c r="A197" s="185" t="inlineStr">
        <is>
          <t>Tesla a crescut semnificativ cu 3.50% astăzi (preț curent: 380.8500).
Pe săptămână: -4.61% | Pe lună: -6.97%.
Volum în linie cu media (1.2x) — nicio anomalie de participare.
RSI = 44.4 — Zonă NEUTRĂ.
Echilibru între cumpărători și vânzători. Piața caută direcție. Evita pozițiile mari până la o confirmare clară de trend.
MACD negativ (histogram: -1.6045).
Presiunea de vânzare domină pe termen scurt. Fii precaut cu pozițiile long în acest context.
GOLDEN CROSS ACTIV: MA50 (414.19) &gt; MA200 (394.63).
Cea mai importantă configurație bullish pe termen mediu-lung. Fondurile de pensii, ETF-urile și robo-advisors cumpără automat la Golden Cross. Trendul major este ascendent — scăderile sunt oportunități de cumpărare, nu semnale de panică.
Prețul în interiorul Bollinger (374.5250 — 420.5260). Nicio extremă pentru moment, volatilitate normală.
CONCLUZIE: Semnalele sunt MIXTE — AȘTEPTARE recomandată.
Nu forța o tranzacție când piața nu are direcție clară. Cel mai bun trade uneori este să nu tranzacționezi.</t>
        </is>
      </c>
    </row>
    <row r="198" ht="18" customHeight="1" s="113">
      <c r="A198" s="184" t="inlineStr">
        <is>
          <t xml:space="preserve">  OPORTUNITATE DE TRADING</t>
        </is>
      </c>
    </row>
    <row r="199" ht="133" customHeight="1" s="113">
      <c r="A199" s="185" t="inlineStr">
        <is>
          <t>NU EXISTĂ OPORTUNITATE CLARĂ în acest moment.
Confluențe tehnice: 2/5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200" ht="18" customHeight="1" s="113">
      <c r="A200" s="184" t="inlineStr">
        <is>
          <t xml:space="preserve">  PATTERN GRAFIC DETECTAT</t>
        </is>
      </c>
    </row>
    <row r="201" ht="120" customHeight="1" s="113">
      <c r="A201" s="185" t="inlineStr">
        <is>
          <t>PATTERN ACTIV: GOLDEN CROSS
MA50 (414.19) &gt; MA200 (394.63) cu 4.96%.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t>
        </is>
      </c>
    </row>
    <row r="202" ht="18" customHeight="1" s="113">
      <c r="A202" s="184" t="inlineStr">
        <is>
          <t xml:space="preserve">  LECȚIA ZILEI</t>
        </is>
      </c>
    </row>
    <row r="203" ht="393" customHeight="1" s="113">
      <c r="A203" s="185" t="inlineStr">
        <is>
          <t xml:space="preserve">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
LECȚIE — GOLDEN CROSS: ÎNTÂRZIERE VS. ANTICIPARE:
Golden Cross este real și puternic, dar are un defect major: este un indicator LAGGING (cu întârziere). Apare DUPĂ ce prețul a urcat deja 10-30%.
Strategia amatorilor: cumpără exact la Golden Cross (prea târziu).
Strategia profesioniștilor: anticipează Golden Cross-ul.
Cum anticipezi:
  1. MA200 încetinește scăderea (se aplatizează)
  2. MA50 oprește scăderea și inversează
  3. RSI revine din sub 30 → zona 40-50
  4. MACD formează un bullish crossover la zero line
  5. Volumul crește pe zilele UP
Dacă bifezi 4 din 5 și Golden Cross nu s-a format încă — ACELA este momentul optim de cumpărare.</t>
        </is>
      </c>
    </row>
    <row r="204" ht="6" customHeight="1" s="113">
      <c r="A204" s="186" t="n"/>
      <c r="B204" s="186" t="n"/>
      <c r="C204" s="186" t="n"/>
    </row>
    <row r="206" ht="24" customHeight="1" s="113">
      <c r="A206" s="187" t="inlineStr">
        <is>
          <t xml:space="preserve">  AMD   |   Preț: 202.6800   |   Zi: +0.67%   |   RSI: 59.4   |   Confluențe: 3/5   |   SEMNAL: BUY  </t>
        </is>
      </c>
    </row>
    <row r="207" ht="18" customHeight="1" s="113">
      <c r="A207" s="184" t="inlineStr">
        <is>
          <t xml:space="preserve">  DE CE S-A MIȘCAT ASTĂZI</t>
        </is>
      </c>
    </row>
    <row r="208" ht="250" customHeight="1" s="113">
      <c r="A208" s="185" t="inlineStr">
        <is>
          <t>AMD a crescut ușor cu 0.67% astăzi (preț curent: 202.6800).
Pe săptămână: +3.24% | Pe lună: -5.22%.
Volum în linie cu media (0.9x) — nicio anomalie de participare.
RSI = 59.4 — Momentum POZITIV.
Cumpărătorii au controlul, dar activul nu este încă supraevaluat. Zona 55-70 este adesea CEA MAI PROFITABILĂ pentru trend-following. Trendul bullish se menține solid.
MACD pozitiv și crescător (histogram: +1.3461).
Momentumul bullish se menține, fără un crossover proaspăt. Trendul continuă dar fără accelerare nouă.
GOLDEN CROSS ACTIV: MA50 (214.40) &gt; MA200 (193.39).
Cea mai importantă configurație bullish pe termen mediu-lung. Fondurile de pensii, ETF-urile și robo-advisors cumpără automat la Golden Cross. Trendul major este ascendent — scăderile sunt oportunități de cumpărare, nu semnale de panică.
Prețul în interiorul Bollinger (189.4607 — 212.1003). Nicio extremă pentru moment, volatilitate normală.
CONCLUZIE: Configurația tehnică este FAVORABILĂ CUMPĂRĂRII.
Momentul tehnic este bun. Riscul principal: o deteriorare bruscă a sentimentului global (VIX spike, știri macro negative) poate invalida setup-ul. Respectă strict stop loss-ul!</t>
        </is>
      </c>
    </row>
    <row r="209" ht="18" customHeight="1" s="113">
      <c r="A209" s="184" t="inlineStr">
        <is>
          <t xml:space="preserve">  OPORTUNITATE DE TRADING</t>
        </is>
      </c>
    </row>
    <row r="210" ht="172" customHeight="1" s="113">
      <c r="A210" s="185" t="inlineStr">
        <is>
          <t>OPORTUNITATE DE CUMPĂRARE — 3 confluențe tehnice aliniate.
Probabilitate estimată de succes: 65%
PARAMETRI TRANZACȚIE:
  Entry (intrare recomandata) :  202.6800
  Stop Loss (SL)             :  190.1368     ← risc 6.2% din pozitie
  Take Profit (TP)           :  227.7664     ← recompensa 12.4%
  Risk/Reward Ratio          :  2.00x   BUN ★★
  ATR (volatilitate zilnica) :  8.3621
RR de 2.0x este solid și profesionist.
Cu un win rate de 40% și un RR constant de 2x, sistemul este matematic profitabil pe termen lung. Nu ceda tentației de a muta TP-ul prea devreme.</t>
        </is>
      </c>
    </row>
    <row r="211" ht="18" customHeight="1" s="113">
      <c r="A211" s="184" t="inlineStr">
        <is>
          <t xml:space="preserve">  PATTERN GRAFIC DETECTAT</t>
        </is>
      </c>
    </row>
    <row r="212" ht="120" customHeight="1" s="113">
      <c r="A212" s="185" t="inlineStr">
        <is>
          <t>PATTERN ACTIV: GOLDEN CROSS
MA50 (214.40) &gt; MA200 (193.39) cu 10.87%.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t>
        </is>
      </c>
    </row>
    <row r="213" ht="18" customHeight="1" s="113">
      <c r="A213" s="184" t="inlineStr">
        <is>
          <t xml:space="preserve">  LECȚIA ZILEI</t>
        </is>
      </c>
    </row>
    <row r="214" ht="393" customHeight="1" s="113">
      <c r="A214" s="185" t="inlineStr">
        <is>
          <t xml:space="preserve">
─────────────────────────────────────────────LECȚIE — GOLDEN CROSS: ÎNTÂRZIERE VS. ANTICIPARE:
Golden Cross este real și puternic, dar are un defect major: este un indicator LAGGING (cu întârziere). Apare DUPĂ ce prețul a urcat deja 10-30%.
Strategia amatorilor: cumpără exact la Golden Cross (prea târziu).
Strategia profesioniștilor: anticipează Golden Cross-ul.
Cum anticipezi:
  1. MA200 încetinește scăderea (se aplatizează)
  2. MA50 oprește scăderea și inversează
  3. RSI revine din sub 30 → zona 40-50
  4. MACD formează un bullish crossover la zero line
  5. Volumul crește pe zilele UP
Dacă bifezi 4 din 5 și Golden Cross nu s-a format încă — ACELA este momentul optim de cumpărare.
LECȚIE PSIHOLOGIE — EMOȚIILE ȘI PIERDEREA BANILOR:
Studiile arată că durerea unei pierderi de 100 lei este psihologic de 2x mai intensă decât bucuria unui câștig de 100 lei (Loss Aversion, Daniel Kahneman, Nobel 2002).
Cum afectează trading-ul:
  1. Ții pozițiile perdante prea mult ('o să revină')
  2. Vinzi pozițiile câștigătoare prea repede (frică să nu pierzi profitul)
  3. Dublezi pe pierdere pentru a 'recupera' (averaging down neselectiv)
  4. Faci revenge trading după o pierdere (emoție, nu analiză)
Soluția: PLAN SCRIS înainte de intrare. Entry, SL, TP, sizing — scrise pe hârtie sau în jurnal ÎNAINTE de a deschide poziția. Odată în poziție, lăsă planul să lucreze, nu emoțiile.</t>
        </is>
      </c>
    </row>
    <row r="215" ht="6" customHeight="1" s="113">
      <c r="A215" s="186" t="n"/>
      <c r="B215" s="186" t="n"/>
      <c r="C215" s="186" t="n"/>
    </row>
    <row r="217" ht="24" customHeight="1" s="113">
      <c r="A217" s="183" t="inlineStr">
        <is>
          <t xml:space="preserve">  Intel   |   Preț: 44.0100   |   Zi: +0.32%   |   RSI: 52.3   |   Confluențe: 1/5   |   SEMNAL: WAIT  </t>
        </is>
      </c>
    </row>
    <row r="218" ht="18" customHeight="1" s="113">
      <c r="A218" s="184" t="inlineStr">
        <is>
          <t xml:space="preserve">  DE CE S-A MIȘCAT ASTĂZI</t>
        </is>
      </c>
    </row>
    <row r="219" ht="250" customHeight="1" s="113">
      <c r="A219" s="185" t="inlineStr">
        <is>
          <t>Intel a crescut ușor cu 0.32% astăzi (preț curent: 44.0100).
Pe săptămână: -0.11% | Pe lună: -4.58%.
Volum în linie cu media (0.9x) — nicio anomalie de participare.
RSI = 52.3 — Zonă NEUTRĂ.
Echilibru între cumpărători și vânzători. Piața caută direcție. Evita pozițiile mari până la o confirmare clară de trend.
MACD negativ (histogram: -0.1578).
Presiunea de vânzare domină pe termen scurt. Fii precaut cu pozițiile long în acest context.
GOLDEN CROSS ACTIV: MA50 (46.59) &gt; MA200 (34.31).
Cea mai importantă configurație bullish pe termen mediu-lung. Fondurile de pensii, ETF-urile și robo-advisors cumpără automat la Golden Cross. Trendul major este ascendent — scăderile sunt oportunități de cumpărare, nu semnale de panică.
Prețul în interiorul Bollinger (42.9663 — 47.8227). Nicio extremă pentru moment, volatilitate normală.
CONCLUZIE: Semnalele sunt MIXTE — AȘTEPTARE recomandată.
Nu forța o tranzacție când piața nu are direcție clară. Cel mai bun trade uneori este să nu tranzacționezi.</t>
        </is>
      </c>
    </row>
    <row r="220" ht="18" customHeight="1" s="113">
      <c r="A220" s="184" t="inlineStr">
        <is>
          <t xml:space="preserve">  OPORTUNITATE DE TRADING</t>
        </is>
      </c>
    </row>
    <row r="221" ht="133" customHeight="1" s="113">
      <c r="A221" s="185" t="inlineStr">
        <is>
          <t>NU EXISTĂ OPORTUNITATE CLARĂ în acest moment.
Confluențe tehnice: 1/5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222" ht="18" customHeight="1" s="113">
      <c r="A222" s="184" t="inlineStr">
        <is>
          <t xml:space="preserve">  PATTERN GRAFIC DETECTAT</t>
        </is>
      </c>
    </row>
    <row r="223" ht="120" customHeight="1" s="113">
      <c r="A223" s="185" t="inlineStr">
        <is>
          <t>PATTERN ACTIV: GOLDEN CROSS
MA50 (46.59) &gt; MA200 (34.31) cu 35.82%.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t>
        </is>
      </c>
    </row>
    <row r="224" ht="18" customHeight="1" s="113">
      <c r="A224" s="184" t="inlineStr">
        <is>
          <t xml:space="preserve">  LECȚIA ZILEI</t>
        </is>
      </c>
    </row>
    <row r="225" ht="289" customHeight="1" s="113">
      <c r="A225" s="185" t="inlineStr">
        <is>
          <t xml:space="preserve">
─────────────────────────────────────────────LECȚIE — PUTEREA 'NU TRANZACȚIONEZ' :
Una dintre cele mai greu de aplicat lecții în trading este să nu faci nimic. Mulți traderi simt nevoia permanentă de a fi 'în piață'. Realitatea: marii profesioniști stau în cash sau neutral 60-70% din timp și atacă DOAR când setup-ul este perfect.
Jack Schwager, în cartea 'Market Wizards', a intervievat cei mai buni traderi din lume. Toți aveau în comun un lucru: SELECTIVITATE EXTREMĂ. Nu numărul de tranzacții te îmbogățește, ci CALITATEA lor.
Aplicare practică: stabilește-ți un checklist cu 5 condiții. Intri DOAR dacă toate 5 sunt bifate. Astăzi acest activ nu le bifează.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t>
        </is>
      </c>
    </row>
    <row r="226" ht="6" customHeight="1" s="113">
      <c r="A226" s="186" t="n"/>
      <c r="B226" s="186" t="n"/>
      <c r="C226" s="186" t="n"/>
    </row>
    <row r="228" ht="24" customHeight="1" s="113">
      <c r="A228" s="183" t="inlineStr">
        <is>
          <t xml:space="preserve">  Broadcom   |   Preț: 322.5100   |   Zi: +3.86%   |   RSI: 54.5   |   Confluențe: 1/5   |   SEMNAL: WAIT  </t>
        </is>
      </c>
    </row>
    <row r="229" ht="18" customHeight="1" s="113">
      <c r="A229" s="184" t="inlineStr">
        <is>
          <t xml:space="preserve">  DE CE S-A MIȘCAT ASTĂZI</t>
        </is>
      </c>
    </row>
    <row r="230" ht="289" customHeight="1" s="113">
      <c r="A230" s="185" t="inlineStr">
        <is>
          <t>Broadcom a crescut semnificativ cu 3.86% astăzi (preț curent: 322.5100).
Pe săptămână: +0.37% | Pe lună: -0.92%.
Volum în linie cu media (0.9x) — nicio anomalie de participare.
RSI = 54.5 — Zonă NEUTRĂ.
Echilibru între cumpărători și vânzători. Piața caută direcție. Evita pozițiile mari până la o confirmare clară de trend.
MACD negativ (histogram: -1.2362).
Presiunea de vânzare domină pe termen scurt. Fii precaut cu pozițiile long în acest context.
GOLDEN CROSS ACTIV: MA50 (330.22) &gt; MA200 (324.84).
Cea mai importantă configurație bullish pe termen mediu-lung. Fondurile de pensii, ETF-urile și robo-advisors cumpără automat la Golden Cross. Trendul major este ascendent — scăderile sunt oportunități de cumpărare, nu semnale de panică.
Prețul în interiorul Bollinger (305.9228 — 345.6312). Nicio extremă pentru moment, volatilitate normală.
Momentum 10 zile: -6.72% — PUTERNIC NEGATIV.
Activul a pierdut teren consistent în ultimele 2 săptămâni. Trendul pe termen scurt este bearish solid.
CONCLUZIE: Semnalele sunt MIXTE — AȘTEPTARE recomandată.
Nu forța o tranzacție când piața nu are direcție clară. Cel mai bun trade uneori este să nu tranzacționezi.</t>
        </is>
      </c>
    </row>
    <row r="231" ht="18" customHeight="1" s="113">
      <c r="A231" s="184" t="inlineStr">
        <is>
          <t xml:space="preserve">  OPORTUNITATE DE TRADING</t>
        </is>
      </c>
    </row>
    <row r="232" ht="133" customHeight="1" s="113">
      <c r="A232" s="185" t="inlineStr">
        <is>
          <t>NU EXISTĂ OPORTUNITATE CLARĂ în acest moment.
Confluențe tehnice: 1/5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233" ht="18" customHeight="1" s="113">
      <c r="A233" s="184" t="inlineStr">
        <is>
          <t xml:space="preserve">  PATTERN GRAFIC DETECTAT</t>
        </is>
      </c>
    </row>
    <row r="234" ht="120" customHeight="1" s="113">
      <c r="A234" s="185" t="inlineStr">
        <is>
          <t>PATTERN ACTIV: GOLDEN CROSS
MA50 (330.22) &gt; MA200 (324.84) cu 1.66%.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t>
        </is>
      </c>
    </row>
    <row r="235" ht="18" customHeight="1" s="113">
      <c r="A235" s="184" t="inlineStr">
        <is>
          <t xml:space="preserve">  LECȚIA ZILEI</t>
        </is>
      </c>
    </row>
    <row r="236" ht="289" customHeight="1" s="113">
      <c r="A236" s="185" t="inlineStr">
        <is>
          <t xml:space="preserve">
─────────────────────────────────────────────LECȚIE — PUTEREA 'NU TRANZACȚIONEZ' :
Una dintre cele mai greu de aplicat lecții în trading este să nu faci nimic. Mulți traderi simt nevoia permanentă de a fi 'în piață'. Realitatea: marii profesioniști stau în cash sau neutral 60-70% din timp și atacă DOAR când setup-ul este perfect.
Jack Schwager, în cartea 'Market Wizards', a intervievat cei mai buni traderi din lume. Toți aveau în comun un lucru: SELECTIVITATE EXTREMĂ. Nu numărul de tranzacții te îmbogățește, ci CALITATEA lor.
Aplicare practică: stabilește-ți un checklist cu 5 condiții. Intri DOAR dacă toate 5 sunt bifate. Astăzi acest activ nu le bifează.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t>
        </is>
      </c>
    </row>
    <row r="237" ht="6" customHeight="1" s="113">
      <c r="A237" s="186" t="n"/>
      <c r="B237" s="186" t="n"/>
      <c r="C237" s="186" t="n"/>
    </row>
    <row r="239" ht="24" customHeight="1" s="113">
      <c r="A239" s="183" t="inlineStr">
        <is>
          <t xml:space="preserve">  ASML   |   Preț: 1,369.6200   |   Zi: +3.98%   |   RSI: 50.9   |   Confluențe: 1/5   |   SEMNAL: WAIT  </t>
        </is>
      </c>
    </row>
    <row r="240" ht="18" customHeight="1" s="113">
      <c r="A240" s="184" t="inlineStr">
        <is>
          <t xml:space="preserve">  DE CE S-A MIȘCAT ASTĂZI</t>
        </is>
      </c>
    </row>
    <row r="241" ht="250" customHeight="1" s="113">
      <c r="A241" s="185" t="inlineStr">
        <is>
          <t>ASML a crescut semnificativ cu 3.98% astăzi (preț curent: 1,369.6200).
Pe săptămână: -1.41% | Pe lună: -8.56%.
Volum ușor peste medie (1.2x) — mișcarea are suport real din piață, fără anomalii. Participare normală spre ridicată.
RSI = 50.9 — Zonă NEUTRĂ.
Echilibru între cumpărători și vânzători. Piața caută direcție. Evita pozițiile mari până la o confirmare clară de trend.
MACD negativ (histogram: -5.8855).
Presiunea de vânzare domină pe termen scurt. Fii precaut cu pozițiile long în acest context.
GOLDEN CROSS ACTIV: MA50 (1,389.94) &gt; MA200 (1,027.35).
Cea mai importantă configurație bullish pe termen mediu-lung. Fondurile de pensii, ETF-urile și robo-advisors cumpără automat la Golden Cross. Trendul major este ascendent — scăderile sunt oportunități de cumpărare, nu semnale de panică.
Prețul în interiorul Bollinger (1,273.3950 — 1,504.7651). Nicio extremă pentru moment, volatilitate normală.
CONCLUZIE: Semnalele sunt MIXTE — AȘTEPTARE recomandată.
Nu forța o tranzacție când piața nu are direcție clară. Cel mai bun trade uneori este să nu tranzacționezi.</t>
        </is>
      </c>
    </row>
    <row r="242" ht="18" customHeight="1" s="113">
      <c r="A242" s="184" t="inlineStr">
        <is>
          <t xml:space="preserve">  OPORTUNITATE DE TRADING</t>
        </is>
      </c>
    </row>
    <row r="243" ht="133" customHeight="1" s="113">
      <c r="A243" s="185" t="inlineStr">
        <is>
          <t>NU EXISTĂ OPORTUNITATE CLARĂ în acest moment.
Confluențe tehnice: 1/5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244" ht="18" customHeight="1" s="113">
      <c r="A244" s="184" t="inlineStr">
        <is>
          <t xml:space="preserve">  PATTERN GRAFIC DETECTAT</t>
        </is>
      </c>
    </row>
    <row r="245" ht="120" customHeight="1" s="113">
      <c r="A245" s="185" t="inlineStr">
        <is>
          <t>PATTERN ACTIV: GOLDEN CROSS
MA50 (1,389.94) &gt; MA200 (1,027.35) cu 35.29%.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t>
        </is>
      </c>
    </row>
    <row r="246" ht="18" customHeight="1" s="113">
      <c r="A246" s="184" t="inlineStr">
        <is>
          <t xml:space="preserve">  LECȚIA ZILEI</t>
        </is>
      </c>
    </row>
    <row r="247" ht="289" customHeight="1" s="113">
      <c r="A247" s="185" t="inlineStr">
        <is>
          <t xml:space="preserve">
─────────────────────────────────────────────LECȚIE — PUTEREA 'NU TRANZACȚIONEZ' :
Una dintre cele mai greu de aplicat lecții în trading este să nu faci nimic. Mulți traderi simt nevoia permanentă de a fi 'în piață'. Realitatea: marii profesioniști stau în cash sau neutral 60-70% din timp și atacă DOAR când setup-ul este perfect.
Jack Schwager, în cartea 'Market Wizards', a intervievat cei mai buni traderi din lume. Toți aveau în comun un lucru: SELECTIVITATE EXTREMĂ. Nu numărul de tranzacții te îmbogățește, ci CALITATEA lor.
Aplicare practică: stabilește-ți un checklist cu 5 condiții. Intri DOAR dacă toate 5 sunt bifate. Astăzi acest activ nu le bifează.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t>
        </is>
      </c>
    </row>
    <row r="248" ht="6" customHeight="1" s="113">
      <c r="A248" s="186" t="n"/>
      <c r="B248" s="186" t="n"/>
      <c r="C248" s="186" t="n"/>
    </row>
    <row r="250" ht="24" customHeight="1" s="113">
      <c r="A250" s="183" t="inlineStr">
        <is>
          <t xml:space="preserve">  Palantir   |   Preț: 160.8400   |   Zi: +6.74%   |   RSI: 64.7   |   Confluențe: 1/5   |   SEMNAL: WAIT  </t>
        </is>
      </c>
    </row>
    <row r="251" ht="18" customHeight="1" s="113">
      <c r="A251" s="184" t="inlineStr">
        <is>
          <t xml:space="preserve">  DE CE S-A MIȘCAT ASTĂZI</t>
        </is>
      </c>
    </row>
    <row r="252" ht="289" customHeight="1" s="113">
      <c r="A252" s="185" t="inlineStr">
        <is>
          <t>Palantir a crescut semnificativ cu 6.74% astăzi (preț curent: 160.8400).
Pe săptămână: +3.71% | Pe lună: +24.84%.
Volum în linie cu media (1.1x) — nicio anomalie de participare.
RSI = 64.7 — Momentum POZITIV.
Cumpărătorii au controlul, dar activul nu este încă supraevaluat. Zona 55-70 este adesea CEA MAI PROFITABILĂ pentru trend-following. Trendul bullish se menține solid.
MACD pozitiv și crescător (histogram: +1.2474).
Momentumul bullish se menține, fără un crossover proaspăt. Trendul continuă dar fără accelerare nouă.
DEATH CROSS ACTIV: MA50 (151.25) &lt; MA200 (163.58).
Semnal bearish major pe termen mediu-lung. Mulți investitori instituționali reduc expunerea automat la Death Cross. Creșterile temporare pot fi oportunități de vânzare (short) sau ieșire din poziții long.
Prețul în interiorul Bollinger (132.0166 — 166.2794). Nicio extremă pentru moment, volatilitate normală.
Stochastic %K = 95.4 — OVERBOUGHT (peste 80).
Activul s-a apreciat rapid pe termen scurt. Când %K coboară sub %D din zona &gt;80, este semnal de vânzare / luare profit pe termen scurt.
CONCLUZIE: Semnalele sunt MIXTE — AȘTEPTARE recomandată.
Nu forța o tranzacție când piața nu are direcție clară. Cel mai bun trade uneori este să nu tranzacționezi.</t>
        </is>
      </c>
    </row>
    <row r="253" ht="18" customHeight="1" s="113">
      <c r="A253" s="184" t="inlineStr">
        <is>
          <t xml:space="preserve">  OPORTUNITATE DE TRADING</t>
        </is>
      </c>
    </row>
    <row r="254" ht="133" customHeight="1" s="113">
      <c r="A254" s="185" t="inlineStr">
        <is>
          <t>NU EXISTĂ OPORTUNITATE CLARĂ în acest moment.
Confluențe tehnice: 1/5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255" ht="18" customHeight="1" s="113">
      <c r="A255" s="184" t="inlineStr">
        <is>
          <t xml:space="preserve">  PATTERN GRAFIC DETECTAT</t>
        </is>
      </c>
    </row>
    <row r="256" ht="120" customHeight="1" s="113">
      <c r="A256" s="185" t="inlineStr">
        <is>
          <t>PATTERN ACTIV: DEATH CROSS
MA50 (151.25) &lt; MA200 (163.58) cu 7.54%.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t>
        </is>
      </c>
    </row>
    <row r="257" ht="18" customHeight="1" s="113">
      <c r="A257" s="184" t="inlineStr">
        <is>
          <t xml:space="preserve">  LECȚIA ZILEI</t>
        </is>
      </c>
    </row>
    <row r="258" ht="289" customHeight="1" s="113">
      <c r="A258" s="185" t="inlineStr">
        <is>
          <t xml:space="preserve">
─────────────────────────────────────────────LECȚIE — PUTEREA 'NU TRANZACȚIONEZ' :
Una dintre cele mai greu de aplicat lecții în trading este să nu faci nimic. Mulți traderi simt nevoia permanentă de a fi 'în piață'. Realitatea: marii profesioniști stau în cash sau neutral 60-70% din timp și atacă DOAR când setup-ul este perfect.
Jack Schwager, în cartea 'Market Wizards', a intervievat cei mai buni traderi din lume. Toți aveau în comun un lucru: SELECTIVITATE EXTREMĂ. Nu numărul de tranzacții te îmbogățește, ci CALITATEA lor.
Aplicare practică: stabilește-ți un checklist cu 5 condiții. Intri DOAR dacă toate 5 sunt bifate. Astăzi acest activ nu le bifează.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t>
        </is>
      </c>
    </row>
    <row r="259" ht="6" customHeight="1" s="113">
      <c r="A259" s="186" t="n"/>
      <c r="B259" s="186" t="n"/>
      <c r="C259" s="186" t="n"/>
    </row>
    <row r="261" ht="24" customHeight="1" s="113">
      <c r="A261" s="183" t="inlineStr">
        <is>
          <t xml:space="preserve">  Salesforce   |   Preț: 195.1800   |   Zi: -0.10%   |   RSI: 49.0   |   Confluențe: 1/5   |   SEMNAL: WAIT  </t>
        </is>
      </c>
    </row>
    <row r="262" ht="18" customHeight="1" s="113">
      <c r="A262" s="184" t="inlineStr">
        <is>
          <t xml:space="preserve">  DE CE S-A MIȘCAT ASTĂZI</t>
        </is>
      </c>
    </row>
    <row r="263" ht="250" customHeight="1" s="113">
      <c r="A263" s="185" t="inlineStr">
        <is>
          <t>Salesforce a scăzut ușor cu 0.10% astăzi (preț curent: 195.1800).
Pe săptămână: -0.07% | Pe lună: +5.26%.
Volum în linie cu media (0.9x) — nicio anomalie de participare.
RSI = 49.0 — Zonă NEUTRĂ.
Echilibru între cumpărători și vânzători. Piața caută direcție. Evita pozițiile mari până la o confirmare clară de trend.
MACD pozitiv și crescător (histogram: +0.9675).
Momentumul bullish se menține, fără un crossover proaspăt. Trendul continuă dar fără accelerare nouă.
DEATH CROSS ACTIV: MA50 (204.75) &lt; MA200 (240.16).
Semnal bearish major pe termen mediu-lung. Mulți investitori instituționali reduc expunerea automat la Death Cross. Creșterile temporare pot fi oportunități de vânzare (short) sau ieșire din poziții long.
Prețul în interiorul Bollinger (188.0235 — 203.0255). Nicio extremă pentru moment, volatilitate normală.
CONCLUZIE: Semnalele sunt MIXTE — AȘTEPTARE recomandată.
Nu forța o tranzacție când piața nu are direcție clară. Cel mai bun trade uneori este să nu tranzacționezi.</t>
        </is>
      </c>
    </row>
    <row r="264" ht="18" customHeight="1" s="113">
      <c r="A264" s="184" t="inlineStr">
        <is>
          <t xml:space="preserve">  OPORTUNITATE DE TRADING</t>
        </is>
      </c>
    </row>
    <row r="265" ht="133" customHeight="1" s="113">
      <c r="A265" s="185" t="inlineStr">
        <is>
          <t>NU EXISTĂ OPORTUNITATE CLARĂ în acest moment.
Confluențe tehnice: 1/5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266" ht="18" customHeight="1" s="113">
      <c r="A266" s="184" t="inlineStr">
        <is>
          <t xml:space="preserve">  PATTERN GRAFIC DETECTAT</t>
        </is>
      </c>
    </row>
    <row r="267" ht="120" customHeight="1" s="113">
      <c r="A267" s="185" t="inlineStr">
        <is>
          <t>PATTERN ACTIV: DEATH CROSS
MA50 (204.75) &lt; MA200 (240.16) cu 14.74%.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t>
        </is>
      </c>
    </row>
    <row r="268" ht="18" customHeight="1" s="113">
      <c r="A268" s="184" t="inlineStr">
        <is>
          <t xml:space="preserve">  LECȚIA ZILEI</t>
        </is>
      </c>
    </row>
    <row r="269" ht="289" customHeight="1" s="113">
      <c r="A269" s="185" t="inlineStr">
        <is>
          <t xml:space="preserve">
─────────────────────────────────────────────LECȚIE — PUTEREA 'NU TRANZACȚIONEZ' :
Una dintre cele mai greu de aplicat lecții în trading este să nu faci nimic. Mulți traderi simt nevoia permanentă de a fi 'în piață'. Realitatea: marii profesioniști stau în cash sau neutral 60-70% din timp și atacă DOAR când setup-ul este perfect.
Jack Schwager, în cartea 'Market Wizards', a intervievat cei mai buni traderi din lume. Toți aveau în comun un lucru: SELECTIVITATE EXTREMĂ. Nu numărul de tranzacții te îmbogățește, ci CALITATEA lor.
Aplicare practică: stabilește-ți un checklist cu 5 condiții. Intri DOAR dacă toate 5 sunt bifate. Astăzi acest activ nu le bifează.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t>
        </is>
      </c>
    </row>
    <row r="270" ht="6" customHeight="1" s="113">
      <c r="A270" s="186" t="n"/>
      <c r="B270" s="186" t="n"/>
      <c r="C270" s="186" t="n"/>
    </row>
    <row r="272" ht="24" customHeight="1" s="113">
      <c r="A272" s="183" t="inlineStr">
        <is>
          <t xml:space="preserve">  Oracle   |   Preț: 154.3400   |   Zi: +3.11%   |   RSI: 55.3   |   Confluențe: 1/5   |   SEMNAL: WAIT  </t>
        </is>
      </c>
    </row>
    <row r="273" ht="18" customHeight="1" s="113">
      <c r="A273" s="184" t="inlineStr">
        <is>
          <t xml:space="preserve">  DE CE S-A MIȘCAT ASTĂZI</t>
        </is>
      </c>
    </row>
    <row r="274" ht="263" customHeight="1" s="113">
      <c r="A274" s="185" t="inlineStr">
        <is>
          <t>Oracle a crescut semnificativ cu 3.11% astăzi (preț curent: 154.3400).
Pe săptămână: -0.23% | Pe lună: +5.61%.
VOLUM SCĂZUT: 0.7x față de medie — ATENȚIE!
Mișcările pe volum mic sunt adesea false (fake moves). Marii jucători nu participă activ azi. Probabilitate crescută ca mișcarea să se inverseze sau să nu continue.
RSI = 55.3 — Momentum POZITIV.
Cumpărătorii au controlul, dar activul nu este încă supraevaluat. Zona 55-70 este adesea CEA MAI PROFITABILĂ pentru trend-following. Trendul bullish se menține solid.
MACD pozitiv și crescător (histogram: +0.8068).
Momentumul bullish se menține, fără un crossover proaspăt. Trendul continuă dar fără accelerare nouă.
DEATH CROSS ACTIV: MA50 (161.79) &lt; MA200 (219.25).
Semnal bearish major pe termen mediu-lung. Mulți investitori instituționali reduc expunerea automat la Death Cross. Creșterile temporare pot fi oportunități de vânzare (short) sau ieșire din poziții long.
Prețul în interiorul Bollinger (143.8090 — 161.1480). Nicio extremă pentru moment, volatilitate normală.
CONCLUZIE: Semnalele sunt MIXTE — AȘTEPTARE recomandată.
Nu forța o tranzacție când piața nu are direcție clară. Cel mai bun trade uneori este să nu tranzacționezi.</t>
        </is>
      </c>
    </row>
    <row r="275" ht="18" customHeight="1" s="113">
      <c r="A275" s="184" t="inlineStr">
        <is>
          <t xml:space="preserve">  OPORTUNITATE DE TRADING</t>
        </is>
      </c>
    </row>
    <row r="276" ht="133" customHeight="1" s="113">
      <c r="A276" s="185" t="inlineStr">
        <is>
          <t>NU EXISTĂ OPORTUNITATE CLARĂ în acest moment.
Confluențe tehnice: 1/5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277" ht="18" customHeight="1" s="113">
      <c r="A277" s="184" t="inlineStr">
        <is>
          <t xml:space="preserve">  PATTERN GRAFIC DETECTAT</t>
        </is>
      </c>
    </row>
    <row r="278" ht="120" customHeight="1" s="113">
      <c r="A278" s="185" t="inlineStr">
        <is>
          <t>PATTERN ACTIV: DEATH CROSS
MA50 (161.79) &lt; MA200 (219.25) cu 26.21%.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t>
        </is>
      </c>
    </row>
    <row r="279" ht="18" customHeight="1" s="113">
      <c r="A279" s="184" t="inlineStr">
        <is>
          <t xml:space="preserve">  LECȚIA ZILEI</t>
        </is>
      </c>
    </row>
    <row r="280" ht="289" customHeight="1" s="113">
      <c r="A280" s="185" t="inlineStr">
        <is>
          <t xml:space="preserve">
─────────────────────────────────────────────LECȚIE — PUTEREA 'NU TRANZACȚIONEZ' :
Una dintre cele mai greu de aplicat lecții în trading este să nu faci nimic. Mulți traderi simt nevoia permanentă de a fi 'în piață'. Realitatea: marii profesioniști stau în cash sau neutral 60-70% din timp și atacă DOAR când setup-ul este perfect.
Jack Schwager, în cartea 'Market Wizards', a intervievat cei mai buni traderi din lume. Toți aveau în comun un lucru: SELECTIVITATE EXTREMĂ. Nu numărul de tranzacții te îmbogățește, ci CALITATEA lor.
Aplicare practică: stabilește-ți un checklist cu 5 condiții. Intri DOAR dacă toate 5 sunt bifate. Astăzi acest activ nu le bifează.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t>
        </is>
      </c>
    </row>
    <row r="281" ht="6" customHeight="1" s="113">
      <c r="A281" s="186" t="n"/>
      <c r="B281" s="186" t="n"/>
      <c r="C281" s="186" t="n"/>
    </row>
    <row r="283" ht="24" customHeight="1" s="113">
      <c r="A283" s="187" t="inlineStr">
        <is>
          <t xml:space="preserve">  JPMorgan   |   Preț: 289.9100   |   Zi: +1.17%   |   RSI: 31.6   |   Confluențe: 5/5   |   SEMNAL: BUY  </t>
        </is>
      </c>
    </row>
    <row r="284" ht="18" customHeight="1" s="113">
      <c r="A284" s="184" t="inlineStr">
        <is>
          <t xml:space="preserve">  DE CE S-A MIȘCAT ASTĂZI</t>
        </is>
      </c>
    </row>
    <row r="285" ht="263" customHeight="1" s="113">
      <c r="A285" s="185" t="inlineStr">
        <is>
          <t>JPMorgan a crescut moderat cu 1.17% astăzi (preț curent: 289.9100).
Pe săptămână: +1.05% | Pe lună: -2.49%.
VOLUM SCĂZUT: 0.7x față de medie — ATENȚIE!
Mișcările pe volum mic sunt adesea false (fake moves). Marii jucători nu participă activ azi. Probabilitate crescută ca mișcarea să se inverseze sau să nu continue.
RSI = 31.6 — Zonă slabă dar fără extremă.
Vânzătorii domină încă, dar presiunea începe să scadă. Urmărește o stabilizare a prețului și un candle bullish de confirmare înainte de a considera o intrare long.
MACD pozitiv și crescător (histogram: +0.4073).
Momentumul bullish se menține, fără un crossover proaspăt. Trendul continuă dar fără accelerare nouă.
GOLDEN CROSS ACTIV: MA50 (302.43) &gt; MA200 (299.71).
Cea mai importantă configurație bullish pe termen mediu-lung. Fondurile de pensii, ETF-urile și robo-advisors cumpără automat la Golden Cross. Trendul major este ascendent — scăderile sunt oportunități de cumpărare, nu semnale de panică.
Prețul în interiorul Bollinger (278.4430 — 306.0570). Nicio extremă pentru moment, volatilitate normală.
CONCLUZIE: Configurația tehnică este FAVORABILĂ CUMPĂRĂRII.
Momentul tehnic este bun. Riscul principal: o deteriorare bruscă a sentimentului global (VIX spike, știri macro negative) poate invalida setup-ul. Respectă strict stop loss-ul!</t>
        </is>
      </c>
    </row>
    <row r="286" ht="18" customHeight="1" s="113">
      <c r="A286" s="184" t="inlineStr">
        <is>
          <t xml:space="preserve">  OPORTUNITATE DE TRADING</t>
        </is>
      </c>
    </row>
    <row r="287" ht="172" customHeight="1" s="113">
      <c r="A287" s="185" t="inlineStr">
        <is>
          <t>OPORTUNITATE DE CUMPĂRARE — 5 confluențe tehnice aliniate.
Probabilitate estimată de succes: 85%
PARAMETRI TRANZACȚIE:
  Entry (intrare recomandata) :  289.9100
  Stop Loss (SL)             :  279.8621     ← risc 3.5% din pozitie
  Take Profit (TP)           :  310.0057     ← recompensa 6.9%
  Risk/Reward Ratio          :  2.00x   BUN ★★
  ATR (volatilitate zilnica) :  6.6986
RR de 2.0x este solid și profesionist.
Cu un win rate de 40% și un RR constant de 2x, sistemul este matematic profitabil pe termen lung. Nu ceda tentației de a muta TP-ul prea devreme.</t>
        </is>
      </c>
    </row>
    <row r="288" ht="18" customHeight="1" s="113">
      <c r="A288" s="184" t="inlineStr">
        <is>
          <t xml:space="preserve">  PATTERN GRAFIC DETECTAT</t>
        </is>
      </c>
    </row>
    <row r="289" ht="120" customHeight="1" s="113">
      <c r="A289" s="185" t="inlineStr">
        <is>
          <t>PATTERN ACTIV: GOLDEN CROSS
MA50 (302.43) &gt; MA200 (299.71) cu 0.91%.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t>
        </is>
      </c>
    </row>
    <row r="290" ht="18" customHeight="1" s="113">
      <c r="A290" s="184" t="inlineStr">
        <is>
          <t xml:space="preserve">  LECȚIA ZILEI</t>
        </is>
      </c>
    </row>
    <row r="291" ht="367" customHeight="1" s="113">
      <c r="A291" s="185" t="inlineStr">
        <is>
          <t xml:space="preserve">
─────────────────────────────────────────────LECȚIE — 'FOLLOW THE VOLUME':
Prețul poate fi manipulat, volumul nu minte.
O mișcare de preț pe volum sub 70% din medie este un semnal roșu. Poate fi manipulare de piață, poate fi o mișcare de 'thin market' (piață subțire în afara orelor principale), sau pur și simplu lipsă de interes real.
Regula de aur nr. 1 din trading: 'Nu cumpăra breakout-uri pe volum mic.'
Regula de aur nr. 2: 'Dacă prețul urcă pe volum scăzut, vânzătorii NU sunt convinși că e scump — cumpărătorii sunt cei care ridică prețul singuri.'
LECȚIE — GOLDEN CROSS: ÎNTÂRZIERE VS. ANTICIPARE:
Golden Cross este real și puternic, dar are un defect major: este un indicator LAGGING (cu întârziere). Apare DUPĂ ce prețul a urcat deja 10-30%.
Strategia amatorilor: cumpără exact la Golden Cross (prea târziu).
Strategia profesioniștilor: anticipează Golden Cross-ul.
Cum anticipezi:
  1. MA200 încetinește scăderea (se aplatizează)
  2. MA50 oprește scăderea și inversează
  3. RSI revine din sub 30 → zona 40-50
  4. MACD formează un bullish crossover la zero line
  5. Volumul crește pe zilele UP
Dacă bifezi 4 din 5 și Golden Cross nu s-a format încă — ACELA este momentul optim de cumpărare.</t>
        </is>
      </c>
    </row>
    <row r="292" ht="6" customHeight="1" s="113">
      <c r="A292" s="186" t="n"/>
      <c r="B292" s="186" t="n"/>
      <c r="C292" s="186" t="n"/>
    </row>
    <row r="294" ht="24" customHeight="1" s="113">
      <c r="A294" s="187" t="inlineStr">
        <is>
          <t xml:space="preserve">  Goldman Sachs   |   Preț: 831.2700   |   Zi: +2.18%   |   RSI: 40.6   |   Confluențe: 5/5   |   SEMNAL: BUY  </t>
        </is>
      </c>
    </row>
    <row r="295" ht="18" customHeight="1" s="113">
      <c r="A295" s="184" t="inlineStr">
        <is>
          <t xml:space="preserve">  DE CE S-A MIȘCAT ASTĂZI</t>
        </is>
      </c>
    </row>
    <row r="296" ht="250" customHeight="1" s="113">
      <c r="A296" s="185" t="inlineStr">
        <is>
          <t>Goldman Sachs a crescut moderat cu 2.18% astăzi (preț curent: 831.2700).
Pe săptămână: +3.00% | Pe lună: -7.38%.
Volum în linie cu media (0.8x) — nicio anomalie de participare.
RSI = 40.6 — Zonă NEUTRĂ.
Echilibru între cumpărători și vânzători. Piața caută direcție. Evita pozițiile mari până la o confirmare clară de trend.
MACD: BULLISH CROSSOVER CONFIRMAT (histogram: +1.7828).
Linia MACD a trecut DEASUPRA liniei de semnal — unul dintre cele mai puternice semnale de schimbare a direcției spre bullish. Momentumul câștigă forță în favoarea cumpărătorilor. Confirmă cu volumul crescut pentru un semnal de calitate.
GOLDEN CROSS ACTIV: MA50 (892.06) &gt; MA200 (792.87).
Cea mai importantă configurație bullish pe termen mediu-lung. Fondurile de pensii, ETF-urile și robo-advisors cumpără automat la Golden Cross. Trendul major este ascendent — scăderile sunt oportunități de cumpărare, nu semnale de panică.
Prețul în interiorul Bollinger (757.3618 — 918.9021). Nicio extremă pentru moment, volatilitate normală.
CONCLUZIE: Configurația tehnică este FAVORABILĂ CUMPĂRĂRII.
Momentul tehnic este bun. Riscul principal: o deteriorare bruscă a sentimentului global (VIX spike, știri macro negative) poate invalida setup-ul. Respectă strict stop loss-ul!</t>
        </is>
      </c>
    </row>
    <row r="297" ht="18" customHeight="1" s="113">
      <c r="A297" s="184" t="inlineStr">
        <is>
          <t xml:space="preserve">  OPORTUNITATE DE TRADING</t>
        </is>
      </c>
    </row>
    <row r="298" ht="172" customHeight="1" s="113">
      <c r="A298" s="185" t="inlineStr">
        <is>
          <t>OPORTUNITATE DE CUMPĂRARE — 5 confluențe tehnice aliniate.
Probabilitate estimată de succes: 85%
PARAMETRI TRANZACȚIE:
  Entry (intrare recomandata) :  831.2700
  Stop Loss (SL)             :  789.7168     ← risc 5.0% din pozitie
  Take Profit (TP)           :  914.3765     ← recompensa 10.0%
  Risk/Reward Ratio          :  2.00x   BUN ★★
  ATR (volatilitate zilnica) :  27.7021
RR de 2.0x este solid și profesionist.
Cu un win rate de 40% și un RR constant de 2x, sistemul este matematic profitabil pe termen lung. Nu ceda tentației de a muta TP-ul prea devreme.</t>
        </is>
      </c>
    </row>
    <row r="299" ht="18" customHeight="1" s="113">
      <c r="A299" s="184" t="inlineStr">
        <is>
          <t xml:space="preserve">  PATTERN GRAFIC DETECTAT</t>
        </is>
      </c>
    </row>
    <row r="300" ht="276" customHeight="1" s="113">
      <c r="A300" s="185" t="inlineStr">
        <is>
          <t>PATTERN ACTIV: GOLDEN CROSS
MA50 (892.06) &gt; MA200 (792.87) cu 12.51%.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
PATTERN ACTIV: MACD BULLISH CROSSOVER
Histogramă: +1.782805 (trecere în teritoriu pozitiv).
CE ÎNSEAMNĂ PE GRAFIC:
Barele histogramei au trecut de la ROȘU (negativ) la VERDE (pozitiv). Linia MACD (rapidă) a depășit linia Signal (lentă).
CEL MAI PUTERNIC SEMNAL:
Crossover bullish care apare EXACT LA LINIA ZERO este considerat cel mai fiabil. Un crossover la -0.5 sau -1.0 (departe de zero) este mai slab.
CAPCANA:
MACD crossover pe VOLUM MIC poate fi fals. Confirmă întotdeauna cu volumul crescut! Rvol curent: 0.8x ⚠ Slab.</t>
        </is>
      </c>
    </row>
    <row r="301" ht="18" customHeight="1" s="113">
      <c r="A301" s="184" t="inlineStr">
        <is>
          <t xml:space="preserve">  LECȚIA ZILEI</t>
        </is>
      </c>
    </row>
    <row r="302" ht="393" customHeight="1" s="113">
      <c r="A302" s="185" t="inlineStr">
        <is>
          <t xml:space="preserve">
─────────────────────────────────────────────LECȚIE — GOLDEN CROSS: ÎNTÂRZIERE VS. ANTICIPARE:
Golden Cross este real și puternic, dar are un defect major: este un indicator LAGGING (cu întârziere). Apare DUPĂ ce prețul a urcat deja 10-30%.
Strategia amatorilor: cumpără exact la Golden Cross (prea târziu).
Strategia profesioniștilor: anticipează Golden Cross-ul.
Cum anticipezi:
  1. MA200 încetinește scăderea (se aplatizează)
  2. MA50 oprește scăderea și inversează
  3. RSI revine din sub 30 → zona 40-50
  4. MACD formează un bullish crossover la zero line
  5. Volumul crește pe zilele UP
Dacă bifezi 4 din 5 și Golden Cross nu s-a format încă — ACELA este momentul optim de cumpărare.
LECȚIE PSIHOLOGIE — EMOȚIILE ȘI PIERDEREA BANILOR:
Studiile arată că durerea unei pierderi de 100 lei este psihologic de 2x mai intensă decât bucuria unui câștig de 100 lei (Loss Aversion, Daniel Kahneman, Nobel 2002).
Cum afectează trading-ul:
  1. Ții pozițiile perdante prea mult ('o să revină')
  2. Vinzi pozițiile câștigătoare prea repede (frică să nu pierzi profitul)
  3. Dublezi pe pierdere pentru a 'recupera' (averaging down neselectiv)
  4. Faci revenge trading după o pierdere (emoție, nu analiză)
Soluția: PLAN SCRIS înainte de intrare. Entry, SL, TP, sizing — scrise pe hârtie sau în jurnal ÎNAINTE de a deschide poziția. Odată în poziție, lăsă planul să lucreze, nu emoțiile.</t>
        </is>
      </c>
    </row>
    <row r="303" ht="6" customHeight="1" s="113">
      <c r="A303" s="186" t="n"/>
      <c r="B303" s="186" t="n"/>
      <c r="C303" s="186" t="n"/>
    </row>
    <row r="305" ht="24" customHeight="1" s="113">
      <c r="A305" s="183" t="inlineStr">
        <is>
          <t xml:space="preserve">  Berkshire B   |   Preț: 479.9800   |   Zi: -0.20%   |   RSI: 48.5   |   Confluențe: 1/5   |   SEMNAL: WAIT  </t>
        </is>
      </c>
    </row>
    <row r="306" ht="18" customHeight="1" s="113">
      <c r="A306" s="184" t="inlineStr">
        <is>
          <t xml:space="preserve">  DE CE S-A MIȘCAT ASTĂZI</t>
        </is>
      </c>
    </row>
    <row r="307" ht="302" customHeight="1" s="113">
      <c r="A307" s="185" t="inlineStr">
        <is>
          <t>Berkshire B a scăzut ușor cu 0.20% astăzi (preț curent: 479.9800).
Pe săptămână: -2.56% | Pe lună: -2.94%.
Volum în linie cu media (0.9x) — nicio anomalie de participare.
RSI = 48.5 — Zonă NEUTRĂ.
Echilibru între cumpărători și vânzători. Piața caută direcție. Evita pozițiile mari până la o confirmare clară de trend.
MACD negativ (histogram: -1.5682).
Presiunea de vânzare domină pe termen scurt. Fii precaut cu pozițiile long în acest context.
GOLDEN CROSS ACTIV: MA50 (492.02) &gt; MA200 (491.17).
Cea mai importantă configurație bullish pe termen mediu-lung. Fondurile de pensii, ETF-urile și robo-advisors cumpără automat la Golden Cross. Trendul major este ascendent — scăderile sunt oportunități de cumpărare, nu semnale de panică.
PREȚ LA BANDA INFERIOARĂ Bollinger (475.6393).
Zonă de potențial suport tehnic. Statistic, 80% din oscilații rămân în interiorul benzilor. Posibilă revenire spre MA20 (mijlocul benzilor) în zilele imediat următoare.
Stochastic %K = 5.3 — OVERSOLD (sub 20).
Presiune de vânzare excesivă pe termen scurt. Când %K depășește %D din jos în sus sub nivelul 20, este un semnal clasic de cumpărare pe termen scurt.
CONCLUZIE: Semnalele sunt MIXTE — AȘTEPTARE recomandată.
Nu forța o tranzacție când piața nu are direcție clară. Cel mai bun trade uneori este să nu tranzacționezi.</t>
        </is>
      </c>
    </row>
    <row r="308" ht="18" customHeight="1" s="113">
      <c r="A308" s="184" t="inlineStr">
        <is>
          <t xml:space="preserve">  OPORTUNITATE DE TRADING</t>
        </is>
      </c>
    </row>
    <row r="309" ht="133" customHeight="1" s="113">
      <c r="A309" s="185" t="inlineStr">
        <is>
          <t>NU EXISTĂ OPORTUNITATE CLARĂ în acest moment.
Confluențe tehnice: 1/5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310" ht="18" customHeight="1" s="113">
      <c r="A310" s="184" t="inlineStr">
        <is>
          <t xml:space="preserve">  PATTERN GRAFIC DETECTAT</t>
        </is>
      </c>
    </row>
    <row r="311" ht="120" customHeight="1" s="113">
      <c r="A311" s="185" t="inlineStr">
        <is>
          <t>PATTERN ACTIV: GOLDEN CROSS
MA50 (492.02) &gt; MA200 (491.17) cu 0.17%.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t>
        </is>
      </c>
    </row>
    <row r="312" ht="18" customHeight="1" s="113">
      <c r="A312" s="184" t="inlineStr">
        <is>
          <t xml:space="preserve">  LECȚIA ZILEI</t>
        </is>
      </c>
    </row>
    <row r="313" ht="289" customHeight="1" s="113">
      <c r="A313" s="185" t="inlineStr">
        <is>
          <t xml:space="preserve">
─────────────────────────────────────────────LECȚIE — PUTEREA 'NU TRANZACȚIONEZ' :
Una dintre cele mai greu de aplicat lecții în trading este să nu faci nimic. Mulți traderi simt nevoia permanentă de a fi 'în piață'. Realitatea: marii profesioniști stau în cash sau neutral 60-70% din timp și atacă DOAR când setup-ul este perfect.
Jack Schwager, în cartea 'Market Wizards', a intervievat cei mai buni traderi din lume. Toți aveau în comun un lucru: SELECTIVITATE EXTREMĂ. Nu numărul de tranzacții te îmbogățește, ci CALITATEA lor.
Aplicare practică: stabilește-ți un checklist cu 5 condiții. Intri DOAR dacă toate 5 sunt bifate. Astăzi acest activ nu le bifează.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t>
        </is>
      </c>
    </row>
    <row r="314" ht="6" customHeight="1" s="113">
      <c r="A314" s="186" t="n"/>
      <c r="B314" s="186" t="n"/>
      <c r="C314" s="186" t="n"/>
    </row>
    <row r="316" ht="24" customHeight="1" s="113">
      <c r="A316" s="183" t="inlineStr">
        <is>
          <t xml:space="preserve">  Visa   |   Preț: 304.4400   |   Zi: +0.94%   |   RSI: 26.2   |   Confluențe: 1/5   |   SEMNAL: WAIT  </t>
        </is>
      </c>
    </row>
    <row r="317" ht="18" customHeight="1" s="113">
      <c r="A317" s="184" t="inlineStr">
        <is>
          <t xml:space="preserve">  DE CE S-A MIȘCAT ASTĂZI</t>
        </is>
      </c>
    </row>
    <row r="318" ht="250" customHeight="1" s="113">
      <c r="A318" s="185" t="inlineStr">
        <is>
          <t>Visa a crescut ușor cu 0.94% astăzi (preț curent: 304.4400).
Pe săptămână: -1.30% | Pe lună: -0.90%.
Volum în linie cu media (0.8x) — nicio anomalie de participare.
RSI = 26.2 — ZONĂ SUPRAVÂNDUT (sub 30).
Activul a scăzut prea rapid și există presiune acumulată de cumpărare. Istoric, RSI sub 30 semnalează că prețul este 'ieftin' față de media sa. Nu înseamnă revenire imediată — poate rămâne sub 30 zile sau săptămâni — dar crește semnificativ probabilitatea unui bounce (recuperare) în zilele imediat următoare.
MACD negativ (histogram: -0.6737).
Presiunea de vânzare domină pe termen scurt. Fii precaut cu pozițiile long în acest context.
DEATH CROSS ACTIV: MA50 (320.46) &lt; MA200 (337.94).
Semnal bearish major pe termen mediu-lung. Mulți investitori instituționali reduc expunerea automat la Death Cross. Creșterile temporare pot fi oportunități de vânzare (short) sau ieșire din poziții long.
Prețul în interiorul Bollinger (297.0640 — 326.1740). Nicio extremă pentru moment, volatilitate normală.
CONCLUZIE: Semnalele sunt MIXTE — AȘTEPTARE recomandată.
Nu forța o tranzacție când piața nu are direcție clară. Cel mai bun trade uneori este să nu tranzacționezi.</t>
        </is>
      </c>
    </row>
    <row r="319" ht="18" customHeight="1" s="113">
      <c r="A319" s="184" t="inlineStr">
        <is>
          <t xml:space="preserve">  OPORTUNITATE DE TRADING</t>
        </is>
      </c>
    </row>
    <row r="320" ht="133" customHeight="1" s="113">
      <c r="A320" s="185" t="inlineStr">
        <is>
          <t>NU EXISTĂ OPORTUNITATE CLARĂ în acest moment.
Confluențe tehnice: 1/5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321" ht="18" customHeight="1" s="113">
      <c r="A321" s="184" t="inlineStr">
        <is>
          <t xml:space="preserve">  PATTERN GRAFIC DETECTAT</t>
        </is>
      </c>
    </row>
    <row r="322" ht="120" customHeight="1" s="113">
      <c r="A322" s="185" t="inlineStr">
        <is>
          <t>PATTERN ACTIV: DEATH CROSS
MA50 (320.46) &lt; MA200 (337.94) cu 5.17%.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t>
        </is>
      </c>
    </row>
    <row r="323" ht="18" customHeight="1" s="113">
      <c r="A323" s="184" t="inlineStr">
        <is>
          <t xml:space="preserve">  LECȚIA ZILEI</t>
        </is>
      </c>
    </row>
    <row r="324" ht="289" customHeight="1" s="113">
      <c r="A324" s="185" t="inlineStr">
        <is>
          <t xml:space="preserve">
─────────────────────────────────────────────LECȚIE — PUTEREA 'NU TRANZACȚIONEZ' :
Una dintre cele mai greu de aplicat lecții în trading este să nu faci nimic. Mulți traderi simt nevoia permanentă de a fi 'în piață'. Realitatea: marii profesioniști stau în cash sau neutral 60-70% din timp și atacă DOAR când setup-ul este perfect.
Jack Schwager, în cartea 'Market Wizards', a intervievat cei mai buni traderi din lume. Toți aveau în comun un lucru: SELECTIVITATE EXTREMĂ. Nu numărul de tranzacții te îmbogățește, ci CALITATEA lor.
Aplicare practică: stabilește-ți un checklist cu 5 condiții. Intri DOAR dacă toate 5 sunt bifate. Astăzi acest activ nu le bifează.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t>
        </is>
      </c>
    </row>
    <row r="325" ht="6" customHeight="1" s="113">
      <c r="A325" s="186" t="n"/>
      <c r="B325" s="186" t="n"/>
      <c r="C325" s="186" t="n"/>
    </row>
    <row r="327" ht="24" customHeight="1" s="113">
      <c r="A327" s="183" t="inlineStr">
        <is>
          <t xml:space="preserve">  Mastercard   |   Preț: 500.3800   |   Zi: +0.82%   |   RSI: 33.7   |   Confluențe: 1/5   |   SEMNAL: WAIT  </t>
        </is>
      </c>
    </row>
    <row r="328" ht="18" customHeight="1" s="113">
      <c r="A328" s="184" t="inlineStr">
        <is>
          <t xml:space="preserve">  DE CE S-A MIȘCAT ASTĂZI</t>
        </is>
      </c>
    </row>
    <row r="329" ht="263" customHeight="1" s="113">
      <c r="A329" s="185" t="inlineStr">
        <is>
          <t>Mastercard a crescut ușor cu 0.82% astăzi (preț curent: 500.3800).
Pe săptămână: -1.22% | Pe lună: +0.48%.
VOLUM SCĂZUT: 0.6x față de medie — ATENȚIE!
Mișcările pe volum mic sunt adesea false (fake moves). Marii jucători nu participă activ azi. Probabilitate crescută ca mișcarea să se inverseze sau să nu continue.
RSI = 33.7 — Zonă slabă dar fără extremă.
Vânzătorii domină încă, dar presiunea începe să scadă. Urmărește o stabilizare a prețului și un candle bullish de confirmare înainte de a considera o intrare long.
MACD negativ (histogram: -0.5696).
Presiunea de vânzare domină pe termen scurt. Fii precaut cu pozițiile long în acest context.
DEATH CROSS ACTIV: MA50 (525.48) &lt; MA200 (555.38).
Semnal bearish major pe termen mediu-lung. Mulți investitori instituționali reduc expunerea automat la Death Cross. Creșterile temporare pot fi oportunități de vânzare (short) sau ieșire din poziții long.
Prețul în interiorul Bollinger (485.5337 — 532.2403). Nicio extremă pentru moment, volatilitate normală.
CONCLUZIE: Semnalele sunt MIXTE — AȘTEPTARE recomandată.
Nu forța o tranzacție când piața nu are direcție clară. Cel mai bun trade uneori este să nu tranzacționezi.</t>
        </is>
      </c>
    </row>
    <row r="330" ht="18" customHeight="1" s="113">
      <c r="A330" s="184" t="inlineStr">
        <is>
          <t xml:space="preserve">  OPORTUNITATE DE TRADING</t>
        </is>
      </c>
    </row>
    <row r="331" ht="133" customHeight="1" s="113">
      <c r="A331" s="185" t="inlineStr">
        <is>
          <t>NU EXISTĂ OPORTUNITATE CLARĂ în acest moment.
Confluențe tehnice: 1/5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332" ht="18" customHeight="1" s="113">
      <c r="A332" s="184" t="inlineStr">
        <is>
          <t xml:space="preserve">  PATTERN GRAFIC DETECTAT</t>
        </is>
      </c>
    </row>
    <row r="333" ht="120" customHeight="1" s="113">
      <c r="A333" s="185" t="inlineStr">
        <is>
          <t>PATTERN ACTIV: DEATH CROSS
MA50 (525.48) &lt; MA200 (555.38) cu 5.38%.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t>
        </is>
      </c>
    </row>
    <row r="334" ht="18" customHeight="1" s="113">
      <c r="A334" s="184" t="inlineStr">
        <is>
          <t xml:space="preserve">  LECȚIA ZILEI</t>
        </is>
      </c>
    </row>
    <row r="335" ht="289" customHeight="1" s="113">
      <c r="A335" s="185" t="inlineStr">
        <is>
          <t xml:space="preserve">
─────────────────────────────────────────────LECȚIE — PUTEREA 'NU TRANZACȚIONEZ' :
Una dintre cele mai greu de aplicat lecții în trading este să nu faci nimic. Mulți traderi simt nevoia permanentă de a fi 'în piață'. Realitatea: marii profesioniști stau în cash sau neutral 60-70% din timp și atacă DOAR când setup-ul este perfect.
Jack Schwager, în cartea 'Market Wizards', a intervievat cei mai buni traderi din lume. Toți aveau în comun un lucru: SELECTIVITATE EXTREMĂ. Nu numărul de tranzacții te îmbogățește, ci CALITATEA lor.
Aplicare practică: stabilește-ți un checklist cu 5 condiții. Intri DOAR dacă toate 5 sunt bifate. Astăzi acest activ nu le bifează.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t>
        </is>
      </c>
    </row>
    <row r="336" ht="6" customHeight="1" s="113">
      <c r="A336" s="186" t="n"/>
      <c r="B336" s="186" t="n"/>
      <c r="C336" s="186" t="n"/>
    </row>
    <row r="338" ht="24" customHeight="1" s="113">
      <c r="A338" s="183" t="inlineStr">
        <is>
          <t xml:space="preserve">  ExxonMobil   |   Preț: 161.1300   |   Zi: +0.91%   |   RSI: 71.2   |   Confluențe: 2/5   |   SEMNAL: WAIT  </t>
        </is>
      </c>
    </row>
    <row r="339" ht="18" customHeight="1" s="113">
      <c r="A339" s="184" t="inlineStr">
        <is>
          <t xml:space="preserve">  DE CE S-A MIȘCAT ASTĂZI</t>
        </is>
      </c>
    </row>
    <row r="340" ht="341" customHeight="1" s="113">
      <c r="A340" s="185" t="inlineStr">
        <is>
          <t>ExxonMobil a crescut ușor cu 0.91% astăzi (preț curent: 161.1300).
Pe săptămână: +1.46% | Pe lună: +7.95%.
Volum în linie cu media (1.1x) — nicio anomalie de participare.
RSI = 71.2 — ZONĂ SUPRAEVALUAT (peste 70).
Activul a crescut prea rapid. Probabilitatea unei corecții sau consolidări crește. Cei cu poziții long ar trebui să ia în considerare protejarea profiturilor (trailing stop sau reducere parțială a expunerii).
MACD pozitiv și crescător (histogram: +0.3072).
Momentumul bullish se menține, fără un crossover proaspăt. Trendul continuă dar fără accelerare nouă.
GOLDEN CROSS ACTIV: MA50 (145.29) &gt; MA200 (120.01).
Cea mai importantă configurație bullish pe termen mediu-lung. Fondurile de pensii, ETF-urile și robo-advisors cumpără automat la Golden Cross. Trendul major este ascendent — scăderile sunt oportunități de cumpărare, nu semnale de panică.
PREȚ LA BANDA SUPERIOARĂ Bollinger (161.6678).
Statistic, prețul revine spre medie în ~80% din cazuri după atingerea benzii superioare. Semnal: posibilă supraextindere pe termen scurt — risc crescut de corecție iminentă sau consolidare orizontală.
Stochastic %K = 91.1 — OVERBOUGHT (peste 80).
Activul s-a apreciat rapid pe termen scurt. Când %K coboară sub %D din zona &gt;80, este semnal de vânzare / luare profit pe termen scurt.
Momentum 10 zile: +7.11% — PUTERNIC POZITIV.
Activul a acumulat câștiguri consistente în ultimele 2 săptămâni. Trendul pe termen scurt este bullish solid.
CONCLUZIE: Semnalele sunt MIXTE — AȘTEPTARE recomandată.
Nu forța o tranzacție când piața nu are direcție clară. Cel mai bun trade uneori este să nu tranzacționezi.</t>
        </is>
      </c>
    </row>
    <row r="341" ht="18" customHeight="1" s="113">
      <c r="A341" s="184" t="inlineStr">
        <is>
          <t xml:space="preserve">  OPORTUNITATE DE TRADING</t>
        </is>
      </c>
    </row>
    <row r="342" ht="133" customHeight="1" s="113">
      <c r="A342" s="185" t="inlineStr">
        <is>
          <t>NU EXISTĂ OPORTUNITATE CLARĂ în acest moment.
Confluențe tehnice: 2/5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343" ht="18" customHeight="1" s="113">
      <c r="A343" s="184" t="inlineStr">
        <is>
          <t xml:space="preserve">  PATTERN GRAFIC DETECTAT</t>
        </is>
      </c>
    </row>
    <row r="344" ht="120" customHeight="1" s="113">
      <c r="A344" s="185" t="inlineStr">
        <is>
          <t>PATTERN ACTIV: GOLDEN CROSS
MA50 (145.29) &gt; MA200 (120.01) cu 21.06%.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t>
        </is>
      </c>
    </row>
    <row r="345" ht="18" customHeight="1" s="113">
      <c r="A345" s="184" t="inlineStr">
        <is>
          <t xml:space="preserve">  LECȚIA ZILEI</t>
        </is>
      </c>
    </row>
    <row r="346" ht="289" customHeight="1" s="113">
      <c r="A346" s="185" t="inlineStr">
        <is>
          <t xml:space="preserve">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
LECȚIE — NU SHORT-UI ÎNTR-UN BULL MARKET:
RSI peste 70 nu înseamnă automat 'vinde'. NVIDIA în 2023-2024 a avut RSI peste 70 timp de 8 luni consecutive și a crescut cu 400% în acea perioadă.
Activele pot rămâne 'supraevaluate' luni întregi în bull market-uri puternice. Regula: short-ul pe RSI ridicat funcționează în piețe laterale sau bearish. În uptrend puternic (Golden Cross + volum crescut), short-ul pe RSI ridicat = rețetă pentru pierderi mari.
Alternativa corectă: dacă ești long, folosești trailing stop pentru a lăsa profitul să curgă și a te proteja simultan.</t>
        </is>
      </c>
    </row>
    <row r="347" ht="6" customHeight="1" s="113">
      <c r="A347" s="186" t="n"/>
      <c r="B347" s="186" t="n"/>
      <c r="C347" s="186" t="n"/>
    </row>
    <row r="349" ht="24" customHeight="1" s="113">
      <c r="A349" s="183" t="inlineStr">
        <is>
          <t xml:space="preserve">  Chevron   |   Preț: 205.2100   |   Zi: +1.73%   |   RSI: 77.8   |   Confluențe: 1/5   |   SEMNAL: WAIT  </t>
        </is>
      </c>
    </row>
    <row r="350" ht="18" customHeight="1" s="113">
      <c r="A350" s="184" t="inlineStr">
        <is>
          <t xml:space="preserve">  DE CE S-A MIȘCAT ASTĂZI</t>
        </is>
      </c>
    </row>
    <row r="351" ht="341" customHeight="1" s="113">
      <c r="A351" s="185" t="inlineStr">
        <is>
          <t>Chevron a crescut moderat cu 1.73% astăzi (preț curent: 205.2100).
Pe săptămână: +3.66% | Pe lună: +10.72%.
Volum în linie cu media (1.1x) — nicio anomalie de participare.
RSI = 77.8 — ZONĂ SUPRAEVALUAT (peste 70).
Activul a crescut prea rapid. Probabilitatea unei corecții sau consolidări crește. Cei cu poziții long ar trebui să ia în considerare protejarea profiturilor (trailing stop sau reducere parțială a expunerii).
MACD pozitiv și crescător (histogram: +0.6575).
Momentumul bullish se menține, fără un crossover proaspăt. Trendul continuă dar fără accelerare nouă.
GOLDEN CROSS ACTIV: MA50 (180.84) &gt; MA200 (157.25).
Cea mai importantă configurație bullish pe termen mediu-lung. Fondurile de pensii, ETF-urile și robo-advisors cumpără automat la Golden Cross. Trendul major este ascendent — scăderile sunt oportunități de cumpărare, nu semnale de panică.
PREȚ LA BANDA SUPERIOARĂ Bollinger (205.3645).
Statistic, prețul revine spre medie în ~80% din cazuri după atingerea benzii superioare. Semnal: posibilă supraextindere pe termen scurt — risc crescut de corecție iminentă sau consolidare orizontală.
Stochastic %K = 99.3 — OVERBOUGHT (peste 80).
Activul s-a apreciat rapid pe termen scurt. Când %K coboară sub %D din zona &gt;80, este semnal de vânzare / luare profit pe termen scurt.
Momentum 10 zile: +8.32% — PUTERNIC POZITIV.
Activul a acumulat câștiguri consistente în ultimele 2 săptămâni. Trendul pe termen scurt este bullish solid.
CONCLUZIE: Semnalele sunt MIXTE — AȘTEPTARE recomandată.
Nu forța o tranzacție când piața nu are direcție clară. Cel mai bun trade uneori este să nu tranzacționezi.</t>
        </is>
      </c>
    </row>
    <row r="352" ht="18" customHeight="1" s="113">
      <c r="A352" s="184" t="inlineStr">
        <is>
          <t xml:space="preserve">  OPORTUNITATE DE TRADING</t>
        </is>
      </c>
    </row>
    <row r="353" ht="133" customHeight="1" s="113">
      <c r="A353" s="185" t="inlineStr">
        <is>
          <t>NU EXISTĂ OPORTUNITATE CLARĂ în acest moment.
Confluențe tehnice: 1/5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354" ht="18" customHeight="1" s="113">
      <c r="A354" s="184" t="inlineStr">
        <is>
          <t xml:space="preserve">  PATTERN GRAFIC DETECTAT</t>
        </is>
      </c>
    </row>
    <row r="355" ht="120" customHeight="1" s="113">
      <c r="A355" s="185" t="inlineStr">
        <is>
          <t>PATTERN ACTIV: GOLDEN CROSS
MA50 (180.84) &gt; MA200 (157.25) cu 15.00%.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t>
        </is>
      </c>
    </row>
    <row r="356" ht="18" customHeight="1" s="113">
      <c r="A356" s="184" t="inlineStr">
        <is>
          <t xml:space="preserve">  LECȚIA ZILEI</t>
        </is>
      </c>
    </row>
    <row r="357" ht="289" customHeight="1" s="113">
      <c r="A357" s="185" t="inlineStr">
        <is>
          <t xml:space="preserve">
─────────────────────────────────────────────LECȚIE — PUTEREA 'NU TRANZACȚIONEZ' :
Una dintre cele mai greu de aplicat lecții în trading este să nu faci nimic. Mulți traderi simt nevoia permanentă de a fi 'în piață'. Realitatea: marii profesioniști stau în cash sau neutral 60-70% din timp și atacă DOAR când setup-ul este perfect.
Jack Schwager, în cartea 'Market Wizards', a intervievat cei mai buni traderi din lume. Toți aveau în comun un lucru: SELECTIVITATE EXTREMĂ. Nu numărul de tranzacții te îmbogățește, ci CALITATEA lor.
Aplicare practică: stabilește-ți un checklist cu 5 condiții. Intri DOAR dacă toate 5 sunt bifate. Astăzi acest activ nu le bifează.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t>
        </is>
      </c>
    </row>
    <row r="358" ht="6" customHeight="1" s="113">
      <c r="A358" s="186" t="n"/>
      <c r="B358" s="186" t="n"/>
      <c r="C358" s="186" t="n"/>
    </row>
    <row r="360" ht="24" customHeight="1" s="113">
      <c r="A360" s="183" t="inlineStr">
        <is>
          <t xml:space="preserve">  Shell   |   Preț: 90.7100   |   Zi: +0.30%   |   RSI: 80.0   |   Confluențe: 2/5   |   SEMNAL: WAIT  </t>
        </is>
      </c>
    </row>
    <row r="361" ht="18" customHeight="1" s="113">
      <c r="A361" s="184" t="inlineStr">
        <is>
          <t xml:space="preserve">  DE CE S-A MIȘCAT ASTĂZI</t>
        </is>
      </c>
    </row>
    <row r="362" ht="341" customHeight="1" s="113">
      <c r="A362" s="185" t="inlineStr">
        <is>
          <t>Shell a crescut ușor cu 0.30% astăzi (preț curent: 90.7100).
Pe săptămână: -1.37% | Pe lună: +12.29%.
VOLUM EXCEPȚIONAL: 1.7x față de media pe 20 de zile.
Mișcarea de astăzi este CONFIRMATĂ de participare instituțională. Volumul ridicat validează direcția — nu este o mișcare întâmplătoare. Fondurile, băncile și algos tranzacționează activ acest activ azi.
RSI = 80.0 — ZONĂ SUPRAEVALUAT (peste 70).
Activul a crescut prea rapid. Probabilitatea unei corecții sau consolidări crește. Cei cu poziții long ar trebui să ia în considerare protejarea profiturilor (trailing stop sau reducere parțială a expunerii).
MACD pozitiv și crescător (histogram: +0.2100).
Momentumul bullish se menține, fără un crossover proaspăt. Trendul continuă dar fără accelerare nouă.
GOLDEN CROSS ACTIV: MA50 (79.82) &gt; MA200 (73.34).
Cea mai importantă configurație bullish pe termen mediu-lung. Fondurile de pensii, ETF-urile și robo-advisors cumpără automat la Golden Cross. Trendul major este ascendent — scăderile sunt oportunități de cumpărare, nu semnale de panică.
Prețul în interiorul Bollinger (78.5067 — 94.3003). Nicio extremă pentru moment, volatilitate normală.
Stochastic %K = 80.3 — OVERBOUGHT (peste 80).
Activul s-a apreciat rapid pe termen scurt. Când %K coboară sub %D din zona &gt;80, este semnal de vânzare / luare profit pe termen scurt.
Momentum 10 zile: +5.98% — PUTERNIC POZITIV.
Activul a acumulat câștiguri consistente în ultimele 2 săptămâni. Trendul pe termen scurt este bullish solid.
CONCLUZIE: Semnalele sunt MIXTE — AȘTEPTARE recomandată.
Nu forța o tranzacție când piața nu are direcție clară. Cel mai bun trade uneori este să nu tranzacționezi.</t>
        </is>
      </c>
    </row>
    <row r="363" ht="18" customHeight="1" s="113">
      <c r="A363" s="184" t="inlineStr">
        <is>
          <t xml:space="preserve">  OPORTUNITATE DE TRADING</t>
        </is>
      </c>
    </row>
    <row r="364" ht="133" customHeight="1" s="113">
      <c r="A364" s="185" t="inlineStr">
        <is>
          <t>NU EXISTĂ OPORTUNITATE CLARĂ în acest moment.
Confluențe tehnice: 2/5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365" ht="18" customHeight="1" s="113">
      <c r="A365" s="184" t="inlineStr">
        <is>
          <t xml:space="preserve">  PATTERN GRAFIC DETECTAT</t>
        </is>
      </c>
    </row>
    <row r="366" ht="185" customHeight="1" s="113">
      <c r="A366" s="185" t="inlineStr">
        <is>
          <t>PATTERN ACTIV: GOLDEN CROSS
MA50 (79.82) &gt; MA200 (73.34) cu 8.84%.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
PATTERN: STOCHASTIC OVERBOUGHT CROSSOVER
%K (80.3) a coborât sub %D (81.0) din zona peste 75.
Semnal de luare a profitului / vânzare pe termen scurt.</t>
        </is>
      </c>
    </row>
    <row r="367" ht="18" customHeight="1" s="113">
      <c r="A367" s="184" t="inlineStr">
        <is>
          <t xml:space="preserve">  LECȚIA ZILEI</t>
        </is>
      </c>
    </row>
    <row r="368" ht="289" customHeight="1" s="113">
      <c r="A368" s="185" t="inlineStr">
        <is>
          <t xml:space="preserve">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
LECȚIE — NU SHORT-UI ÎNTR-UN BULL MARKET:
RSI peste 70 nu înseamnă automat 'vinde'. NVIDIA în 2023-2024 a avut RSI peste 70 timp de 8 luni consecutive și a crescut cu 400% în acea perioadă.
Activele pot rămâne 'supraevaluate' luni întregi în bull market-uri puternice. Regula: short-ul pe RSI ridicat funcționează în piețe laterale sau bearish. În uptrend puternic (Golden Cross + volum crescut), short-ul pe RSI ridicat = rețetă pentru pierderi mari.
Alternativa corectă: dacă ești long, folosești trailing stop pentru a lăsa profitul să curgă și a te proteja simultan.</t>
        </is>
      </c>
    </row>
    <row r="369" ht="6" customHeight="1" s="113">
      <c r="A369" s="186" t="n"/>
      <c r="B369" s="186" t="n"/>
      <c r="C369" s="186" t="n"/>
    </row>
    <row r="371" ht="24" customHeight="1" s="113">
      <c r="A371" s="183" t="inlineStr">
        <is>
          <t xml:space="preserve">  Caterpillar   |   Preț: 701.7000   |   Zi: +3.06%   |   RSI: 44.0   |   Confluențe: 2/5   |   SEMNAL: WAIT  </t>
        </is>
      </c>
    </row>
    <row r="372" ht="18" customHeight="1" s="113">
      <c r="A372" s="184" t="inlineStr">
        <is>
          <t xml:space="preserve">  DE CE S-A MIȘCAT ASTĂZI</t>
        </is>
      </c>
    </row>
    <row r="373" ht="250" customHeight="1" s="113">
      <c r="A373" s="185" t="inlineStr">
        <is>
          <t>Caterpillar a crescut semnificativ cu 3.06% astăzi (preț curent: 701.7000).
Pe săptămână: -0.04% | Pe lună: -8.66%.
Volum în linie cu media (1.0x) — nicio anomalie de participare.
RSI = 44.0 — Zonă NEUTRĂ.
Echilibru între cumpărători și vânzători. Piața caută direcție. Evita pozițiile mari până la o confirmare clară de trend.
MACD negativ (histogram: -4.8053).
Presiunea de vânzare domină pe termen scurt. Fii precaut cu pozițiile long în acest context.
GOLDEN CROSS ACTIV: MA50 (699.76) &gt; MA200 (534.03).
Cea mai importantă configurație bullish pe termen mediu-lung. Fondurile de pensii, ETF-urile și robo-advisors cumpără automat la Golden Cross. Trendul major este ascendent — scăderile sunt oportunități de cumpărare, nu semnale de panică.
Prețul în interiorul Bollinger (660.7102 — 770.7348). Nicio extremă pentru moment, volatilitate normală.
CONCLUZIE: Semnalele sunt MIXTE — AȘTEPTARE recomandată.
Nu forța o tranzacție când piața nu are direcție clară. Cel mai bun trade uneori este să nu tranzacționezi.</t>
        </is>
      </c>
    </row>
    <row r="374" ht="18" customHeight="1" s="113">
      <c r="A374" s="184" t="inlineStr">
        <is>
          <t xml:space="preserve">  OPORTUNITATE DE TRADING</t>
        </is>
      </c>
    </row>
    <row r="375" ht="133" customHeight="1" s="113">
      <c r="A375" s="185" t="inlineStr">
        <is>
          <t>NU EXISTĂ OPORTUNITATE CLARĂ în acest moment.
Confluențe tehnice: 2/5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376" ht="18" customHeight="1" s="113">
      <c r="A376" s="184" t="inlineStr">
        <is>
          <t xml:space="preserve">  PATTERN GRAFIC DETECTAT</t>
        </is>
      </c>
    </row>
    <row r="377" ht="250" customHeight="1" s="113">
      <c r="A377" s="185" t="inlineStr">
        <is>
          <t>PATTERN ACTIV: GOLDEN CROSS
MA50 (699.76) &gt; MA200 (534.03) cu 31.03%.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
PATTERN: TEST MA50
Prețul (701.7000) se află la +0.28% față de MA50 (699.76).
MA50 este CEL MAI URMĂRIT nivel dinamic de suport/rezistență. Un test al MA50 poate fi:
  BOUNCE (revenire): prețul respinge MA50 și continuă trendul → confirmă trendul
  BREAKDOWN: prețul sparge MA50 pe volum → semnal bearish
  FAKE: prețul taie MA50 dar revine rapid (whipsaw) → semn de piață slabă
Fii FOARTE ATENT la candle-ul de închidere față de MA50 azi!</t>
        </is>
      </c>
    </row>
    <row r="378" ht="18" customHeight="1" s="113">
      <c r="A378" s="184" t="inlineStr">
        <is>
          <t xml:space="preserve">  LECȚIA ZILEI</t>
        </is>
      </c>
    </row>
    <row r="379" ht="393" customHeight="1" s="113">
      <c r="A379" s="185" t="inlineStr">
        <is>
          <t xml:space="preserve">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
LECȚIE — GOLDEN CROSS: ÎNTÂRZIERE VS. ANTICIPARE:
Golden Cross este real și puternic, dar are un defect major: este un indicator LAGGING (cu întârziere). Apare DUPĂ ce prețul a urcat deja 10-30%.
Strategia amatorilor: cumpără exact la Golden Cross (prea târziu).
Strategia profesioniștilor: anticipează Golden Cross-ul.
Cum anticipezi:
  1. MA200 încetinește scăderea (se aplatizează)
  2. MA50 oprește scăderea și inversează
  3. RSI revine din sub 30 → zona 40-50
  4. MACD formează un bullish crossover la zero line
  5. Volumul crește pe zilele UP
Dacă bifezi 4 din 5 și Golden Cross nu s-a format încă — ACELA este momentul optim de cumpărare.</t>
        </is>
      </c>
    </row>
    <row r="380" ht="6" customHeight="1" s="113">
      <c r="A380" s="186" t="n"/>
      <c r="B380" s="186" t="n"/>
      <c r="C380" s="186" t="n"/>
    </row>
    <row r="382" ht="24" customHeight="1" s="113">
      <c r="A382" s="187" t="inlineStr">
        <is>
          <t xml:space="preserve">  Boeing   |   Preț: 198.4100   |   Zi: +1.69%   |   RSI: 32.7   |   Confluențe: 3/5   |   SEMNAL: BUY  </t>
        </is>
      </c>
    </row>
    <row r="383" ht="18" customHeight="1" s="113">
      <c r="A383" s="184" t="inlineStr">
        <is>
          <t xml:space="preserve">  DE CE S-A MIȘCAT ASTĂZI</t>
        </is>
      </c>
    </row>
    <row r="384" ht="328" customHeight="1" s="113">
      <c r="A384" s="185" t="inlineStr">
        <is>
          <t>Boeing a crescut moderat cu 1.69% astăzi (preț curent: 198.4100).
Pe săptămână: -5.89% | Pe lună: -14.99%.
Volum în linie cu media (0.8x) — nicio anomalie de participare.
RSI = 32.7 — Zonă slabă dar fără extremă.
Vânzătorii domină încă, dar presiunea începe să scadă. Urmărește o stabilizare a prețului și un candle bullish de confirmare înainte de a considera o intrare long.
MACD negativ (histogram: -2.1652).
Presiunea de vânzare domină pe termen scurt. Fii precaut cu pozițiile long în acest context.
GOLDEN CROSS ACTIV: MA50 (231.61) &gt; MA200 (219.06).
Cea mai importantă configurație bullish pe termen mediu-lung. Fondurile de pensii, ETF-urile și robo-advisors cumpără automat la Golden Cross. Trendul major este ascendent — scăderile sunt oportunități de cumpărare, nu semnale de panică.
Prețul în interiorul Bollinger (193.4314 — 241.7216). Nicio extremă pentru moment, volatilitate normală.
Stochastic %K = 14.9 — OVERSOLD (sub 20).
Presiune de vânzare excesivă pe termen scurt. Când %K depășește %D din jos în sus sub nivelul 20, este un semnal clasic de cumpărare pe termen scurt.
Momentum 10 zile: -11.82% — PUTERNIC NEGATIV.
Activul a pierdut teren consistent în ultimele 2 săptămâni. Trendul pe termen scurt este bearish solid.
CONCLUZIE: Configurația tehnică este FAVORABILĂ CUMPĂRĂRII.
Momentul tehnic este bun. Riscul principal: o deteriorare bruscă a sentimentului global (VIX spike, știri macro negative) poate invalida setup-ul. Respectă strict stop loss-ul!</t>
        </is>
      </c>
    </row>
    <row r="385" ht="18" customHeight="1" s="113">
      <c r="A385" s="184" t="inlineStr">
        <is>
          <t xml:space="preserve">  OPORTUNITATE DE TRADING</t>
        </is>
      </c>
    </row>
    <row r="386" ht="172" customHeight="1" s="113">
      <c r="A386" s="185" t="inlineStr">
        <is>
          <t>OPORTUNITATE DE CUMPĂRARE — 3 confluențe tehnice aliniate.
Probabilitate estimată de succes: 65%
PARAMETRI TRANZACȚIE:
  Entry (intrare recomandata) :  198.4100
  Stop Loss (SL)             :  186.0886     ← risc 6.2% din pozitie
  Take Profit (TP)           :  223.0528     ← recompensa 12.4%
  Risk/Reward Ratio          :  2.00x   BUN ★★
  ATR (volatilitate zilnica) :  8.2143
RR de 2.0x este solid și profesionist.
Cu un win rate de 40% și un RR constant de 2x, sistemul este matematic profitabil pe termen lung. Nu ceda tentației de a muta TP-ul prea devreme.</t>
        </is>
      </c>
    </row>
    <row r="387" ht="18" customHeight="1" s="113">
      <c r="A387" s="184" t="inlineStr">
        <is>
          <t xml:space="preserve">  PATTERN GRAFIC DETECTAT</t>
        </is>
      </c>
    </row>
    <row r="388" ht="185" customHeight="1" s="113">
      <c r="A388" s="185" t="inlineStr">
        <is>
          <t>PATTERN ACTIV: GOLDEN CROSS
MA50 (231.61) &gt; MA200 (219.06) cu 5.73%.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
PATTERN: STOCHASTIC OVERSOLD CROSSOVER
%K (14.9) a depășit %D (10.7) din zona sub 25.
Semnal clasic de cumpărare pe termen scurt (1-5 zile). Cel mai eficient în piețele laterale (sideways range). Mai puțin fiabil în downtrend-uri puternice.</t>
        </is>
      </c>
    </row>
    <row r="389" ht="18" customHeight="1" s="113">
      <c r="A389" s="184" t="inlineStr">
        <is>
          <t xml:space="preserve">  LECȚIA ZILEI</t>
        </is>
      </c>
    </row>
    <row r="390" ht="393" customHeight="1" s="113">
      <c r="A390" s="185" t="inlineStr">
        <is>
          <t xml:space="preserve">
─────────────────────────────────────────────LECȚIE — GOLDEN CROSS: ÎNTÂRZIERE VS. ANTICIPARE:
Golden Cross este real și puternic, dar are un defect major: este un indicator LAGGING (cu întârziere). Apare DUPĂ ce prețul a urcat deja 10-30%.
Strategia amatorilor: cumpără exact la Golden Cross (prea târziu).
Strategia profesioniștilor: anticipează Golden Cross-ul.
Cum anticipezi:
  1. MA200 încetinește scăderea (se aplatizează)
  2. MA50 oprește scăderea și inversează
  3. RSI revine din sub 30 → zona 40-50
  4. MACD formează un bullish crossover la zero line
  5. Volumul crește pe zilele UP
Dacă bifezi 4 din 5 și Golden Cross nu s-a format încă — ACELA este momentul optim de cumpărare.
LECȚIE PSIHOLOGIE — EMOȚIILE ȘI PIERDEREA BANILOR:
Studiile arată că durerea unei pierderi de 100 lei este psihologic de 2x mai intensă decât bucuria unui câștig de 100 lei (Loss Aversion, Daniel Kahneman, Nobel 2002).
Cum afectează trading-ul:
  1. Ții pozițiile perdante prea mult ('o să revină')
  2. Vinzi pozițiile câștigătoare prea repede (frică să nu pierzi profitul)
  3. Dublezi pe pierdere pentru a 'recupera' (averaging down neselectiv)
  4. Faci revenge trading după o pierdere (emoție, nu analiză)
Soluția: PLAN SCRIS înainte de intrare. Entry, SL, TP, sizing — scrise pe hârtie sau în jurnal ÎNAINTE de a deschide poziția. Odată în poziție, lăsă planul să lucreze, nu emoțiile.</t>
        </is>
      </c>
    </row>
    <row r="391" ht="6" customHeight="1" s="113">
      <c r="A391" s="186" t="n"/>
      <c r="B391" s="186" t="n"/>
      <c r="C391" s="186" t="n"/>
    </row>
    <row r="393" ht="24" customHeight="1" s="113">
      <c r="A393" s="187" t="inlineStr">
        <is>
          <t xml:space="preserve">  SPY   |   Preț: 655.3800   |   Zi: +1.05%   |   RSI: 34.6   |   Confluențe: 3/5   |   SEMNAL: BUY  </t>
        </is>
      </c>
    </row>
    <row r="394" ht="18" customHeight="1" s="113">
      <c r="A394" s="184" t="inlineStr">
        <is>
          <t xml:space="preserve">  DE CE S-A MIȘCAT ASTĂZI</t>
        </is>
      </c>
    </row>
    <row r="395" ht="250" customHeight="1" s="113">
      <c r="A395" s="185" t="inlineStr">
        <is>
          <t>SPY a crescut moderat cu 1.05% astăzi (preț curent: 655.3800).
Pe săptămână: -2.03% | Pe lună: -4.39%.
Volum ușor peste medie (1.3x) — mișcarea are suport real din piață, fără anomalii. Participare normală spre ridicată.
RSI = 34.6 — Zonă slabă dar fără extremă.
Vânzătorii domină încă, dar presiunea începe să scadă. Urmărește o stabilizare a prețului și un candle bullish de confirmare înainte de a considera o intrare long.
MACD negativ (histogram: -2.1160).
Presiunea de vânzare domină pe termen scurt. Fii precaut cu pozițiile long în acest context.
GOLDEN CROSS ACTIV: MA50 (681.42) &gt; MA200 (656.85).
Cea mai importantă configurație bullish pe termen mediu-lung. Fondurile de pensii, ETF-urile și robo-advisors cumpără automat la Golden Cross. Trendul major este ascendent — scăderile sunt oportunități de cumpărare, nu semnale de panică.
Prețul în interiorul Bollinger (648.6126 — 696.7144). Nicio extremă pentru moment, volatilitate normală.
CONCLUZIE: Configurația tehnică este FAVORABILĂ CUMPĂRĂRII.
Momentul tehnic este bun. Riscul principal: o deteriorare bruscă a sentimentului global (VIX spike, știri macro negative) poate invalida setup-ul. Respectă strict stop loss-ul!</t>
        </is>
      </c>
    </row>
    <row r="396" ht="18" customHeight="1" s="113">
      <c r="A396" s="184" t="inlineStr">
        <is>
          <t xml:space="preserve">  OPORTUNITATE DE TRADING</t>
        </is>
      </c>
    </row>
    <row r="397" ht="172" customHeight="1" s="113">
      <c r="A397" s="185" t="inlineStr">
        <is>
          <t>OPORTUNITATE DE CUMPĂRARE — 3 confluențe tehnice aliniate.
Probabilitate estimată de succes: 70%
PARAMETRI TRANZACȚIE:
  Entry (intrare recomandata) :  655.3800
  Stop Loss (SL)             :  640.0733     ← risc 2.3% din pozitie
  Take Profit (TP)           :  685.9934     ← recompensa 4.7%
  Risk/Reward Ratio          :  2.00x   BUN ★★
  ATR (volatilitate zilnica) :  10.2045
RR de 2.0x este solid și profesionist.
Cu un win rate de 40% și un RR constant de 2x, sistemul este matematic profitabil pe termen lung. Nu ceda tentației de a muta TP-ul prea devreme.</t>
        </is>
      </c>
    </row>
    <row r="398" ht="18" customHeight="1" s="113">
      <c r="A398" s="184" t="inlineStr">
        <is>
          <t xml:space="preserve">  PATTERN GRAFIC DETECTAT</t>
        </is>
      </c>
    </row>
    <row r="399" ht="120" customHeight="1" s="113">
      <c r="A399" s="185" t="inlineStr">
        <is>
          <t>PATTERN ACTIV: GOLDEN CROSS
MA50 (681.42) &gt; MA200 (656.85) cu 3.74%.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t>
        </is>
      </c>
    </row>
    <row r="400" ht="18" customHeight="1" s="113">
      <c r="A400" s="184" t="inlineStr">
        <is>
          <t xml:space="preserve">  LECȚIA ZILEI</t>
        </is>
      </c>
    </row>
    <row r="401" ht="393" customHeight="1" s="113">
      <c r="A401" s="185" t="inlineStr">
        <is>
          <t xml:space="preserve">
─────────────────────────────────────────────LECȚIE — GOLDEN CROSS: ÎNTÂRZIERE VS. ANTICIPARE:
Golden Cross este real și puternic, dar are un defect major: este un indicator LAGGING (cu întârziere). Apare DUPĂ ce prețul a urcat deja 10-30%.
Strategia amatorilor: cumpără exact la Golden Cross (prea târziu).
Strategia profesioniștilor: anticipează Golden Cross-ul.
Cum anticipezi:
  1. MA200 încetinește scăderea (se aplatizează)
  2. MA50 oprește scăderea și inversează
  3. RSI revine din sub 30 → zona 40-50
  4. MACD formează un bullish crossover la zero line
  5. Volumul crește pe zilele UP
Dacă bifezi 4 din 5 și Golden Cross nu s-a format încă — ACELA este momentul optim de cumpărare.
LECȚIE PSIHOLOGIE — EMOȚIILE ȘI PIERDEREA BANILOR:
Studiile arată că durerea unei pierderi de 100 lei este psihologic de 2x mai intensă decât bucuria unui câștig de 100 lei (Loss Aversion, Daniel Kahneman, Nobel 2002).
Cum afectează trading-ul:
  1. Ții pozițiile perdante prea mult ('o să revină')
  2. Vinzi pozițiile câștigătoare prea repede (frică să nu pierzi profitul)
  3. Dublezi pe pierdere pentru a 'recupera' (averaging down neselectiv)
  4. Faci revenge trading după o pierdere (emoție, nu analiză)
Soluția: PLAN SCRIS înainte de intrare. Entry, SL, TP, sizing — scrise pe hârtie sau în jurnal ÎNAINTE de a deschide poziția. Odată în poziție, lăsă planul să lucreze, nu emoțiile.</t>
        </is>
      </c>
    </row>
    <row r="402" ht="6" customHeight="1" s="113">
      <c r="A402" s="186" t="n"/>
      <c r="B402" s="186" t="n"/>
      <c r="C402" s="186" t="n"/>
    </row>
    <row r="404" ht="24" customHeight="1" s="113">
      <c r="A404" s="183" t="inlineStr">
        <is>
          <t xml:space="preserve">  QQQ   |   Preț: 588.0000   |   Zi: +1.02%   |   RSI: 41.4   |   Confluențe: 2/5   |   SEMNAL: WAIT  </t>
        </is>
      </c>
    </row>
    <row r="405" ht="18" customHeight="1" s="113">
      <c r="A405" s="184" t="inlineStr">
        <is>
          <t xml:space="preserve">  DE CE S-A MIȘCAT ASTĂZI</t>
        </is>
      </c>
    </row>
    <row r="406" ht="263" customHeight="1" s="113">
      <c r="A406" s="185" t="inlineStr">
        <is>
          <t>QQQ a crescut moderat cu 1.02% astăzi (preț curent: 588.0000).
Pe săptămână: -2.54% | Pe lună: -3.27%.
Volum în linie cu media (1.2x) — nicio anomalie de participare.
RSI = 41.4 — Zonă NEUTRĂ.
Echilibru între cumpărători și vânzători. Piața caută direcție. Evita pozițiile mari până la o confirmare clară de trend.
MACD negativ (histogram: -1.6037).
Presiunea de vânzare domină pe termen scurt. Fii precaut cu pozițiile long în acest context.
GOLDEN CROSS ACTIV: MA50 (610.30) &gt; MA200 (592.33).
Cea mai importantă configurație bullish pe termen mediu-lung. Fondurile de pensii, ETF-urile și robo-advisors cumpără automat la Golden Cross. Trendul major este ascendent — scăderile sunt oportunități de cumpărare, nu semnale de panică.
PREȚ LA BANDA INFERIOARĂ Bollinger (585.0477).
Zonă de potențial suport tehnic. Statistic, 80% din oscilații rămân în interiorul benzilor. Posibilă revenire spre MA20 (mijlocul benzilor) în zilele imediat următoare.
CONCLUZIE: Semnalele sunt MIXTE — AȘTEPTARE recomandată.
Nu forța o tranzacție când piața nu are direcție clară. Cel mai bun trade uneori este să nu tranzacționezi.</t>
        </is>
      </c>
    </row>
    <row r="407" ht="18" customHeight="1" s="113">
      <c r="A407" s="184" t="inlineStr">
        <is>
          <t xml:space="preserve">  OPORTUNITATE DE TRADING</t>
        </is>
      </c>
    </row>
    <row r="408" ht="133" customHeight="1" s="113">
      <c r="A408" s="185" t="inlineStr">
        <is>
          <t>NU EXISTĂ OPORTUNITATE CLARĂ în acest moment.
Confluențe tehnice: 2/5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409" ht="18" customHeight="1" s="113">
      <c r="A409" s="184" t="inlineStr">
        <is>
          <t xml:space="preserve">  PATTERN GRAFIC DETECTAT</t>
        </is>
      </c>
    </row>
    <row r="410" ht="120" customHeight="1" s="113">
      <c r="A410" s="185" t="inlineStr">
        <is>
          <t>PATTERN ACTIV: GOLDEN CROSS
MA50 (610.30) &gt; MA200 (592.33) cu 3.03%.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t>
        </is>
      </c>
    </row>
    <row r="411" ht="18" customHeight="1" s="113">
      <c r="A411" s="184" t="inlineStr">
        <is>
          <t xml:space="preserve">  LECȚIA ZILEI</t>
        </is>
      </c>
    </row>
    <row r="412" ht="393" customHeight="1" s="113">
      <c r="A412" s="185" t="inlineStr">
        <is>
          <t xml:space="preserve">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
LECȚIE — GOLDEN CROSS: ÎNTÂRZIERE VS. ANTICIPARE:
Golden Cross este real și puternic, dar are un defect major: este un indicator LAGGING (cu întârziere). Apare DUPĂ ce prețul a urcat deja 10-30%.
Strategia amatorilor: cumpără exact la Golden Cross (prea târziu).
Strategia profesioniștilor: anticipează Golden Cross-ul.
Cum anticipezi:
  1. MA200 încetinește scăderea (se aplatizează)
  2. MA50 oprește scăderea și inversează
  3. RSI revine din sub 30 → zona 40-50
  4. MACD formează un bullish crossover la zero line
  5. Volumul crește pe zilele UP
Dacă bifezi 4 din 5 și Golden Cross nu s-a format încă — ACELA este momentul optim de cumpărare.</t>
        </is>
      </c>
    </row>
    <row r="413" ht="6" customHeight="1" s="113">
      <c r="A413" s="186" t="n"/>
      <c r="B413" s="186" t="n"/>
      <c r="C413" s="186" t="n"/>
    </row>
    <row r="415" ht="24" customHeight="1" s="113">
      <c r="A415" s="187" t="inlineStr">
        <is>
          <t xml:space="preserve">  GLD ETF   |   Preț: 404.0400   |   Zi: -2.26%   |   RSI: 16.9   |   Confluențe: 4/5   |   SEMNAL: BUY  </t>
        </is>
      </c>
    </row>
    <row r="416" ht="18" customHeight="1" s="113">
      <c r="A416" s="184" t="inlineStr">
        <is>
          <t xml:space="preserve">  DE CE S-A MIȘCAT ASTĂZI</t>
        </is>
      </c>
    </row>
    <row r="417" ht="354" customHeight="1" s="113">
      <c r="A417" s="185" t="inlineStr">
        <is>
          <t>GLD ETF a scăzut moderat cu 2.26% astăzi (preț curent: 404.0400).
Pe săptămână: -12.03% | Pe lună: -14.87%.
VOLUM EXCEPȚIONAL: 2.3x față de media pe 20 de zile.
Mișcarea de astăzi este CONFIRMATĂ de participare instituțională. Volumul ridicat validează direcția — nu este o mișcare întâmplătoare. Fondurile, băncile și algos tranzacționează activ acest activ azi.
RSI = 16.9 — ZONĂ SUPRAVÂNDUT (sub 30).
Activul a scăzut prea rapid și există presiune acumulată de cumpărare. Istoric, RSI sub 30 semnalează că prețul este 'ieftin' față de media sa. Nu înseamnă revenire imediată — poate rămâne sub 30 zile sau săptămâni — dar crește semnificativ probabilitatea unui bounce (recuperare) în zilele imediat următoare.
MACD negativ (histogram: -8.5083).
Presiunea de vânzare domină pe termen scurt. Fii precaut cu pozițiile long în acest context.
GOLDEN CROSS ACTIV: MA50 (455.94) &gt; MA200 (374.60).
Cea mai importantă configurație bullish pe termen mediu-lung. Fondurile de pensii, ETF-urile și robo-advisors cumpără automat la Golden Cross. Trendul major este ascendent — scăderile sunt oportunități de cumpărare, nu semnale de panică.
PREȚ LA BANDA INFERIOARĂ Bollinger (416.2877).
Zonă de potențial suport tehnic. Statistic, 80% din oscilații rămân în interiorul benzilor. Posibilă revenire spre MA20 (mijlocul benzilor) în zilele imediat următoare.
Stochastic %K = 5.4 — OVERSOLD (sub 20).
Presiune de vânzare excesivă pe termen scurt. Când %K depășește %D din jos în sus sub nivelul 20, este un semnal clasic de cumpărare pe termen scurt.
Momentum 10 zile: -14.49% — PUTERNIC NEGATIV.
Activul a pierdut teren consistent în ultimele 2 săptămâni. Trendul pe termen scurt este bearish solid.
CONCLUZIE: Configurația tehnică este FAVORABILĂ CUMPĂRĂRII.
Momentul tehnic este bun. Riscul principal: o deteriorare bruscă a sentimentului global (VIX spike, știri macro negative) poate invalida setup-ul. Respectă strict stop loss-ul!</t>
        </is>
      </c>
    </row>
    <row r="418" ht="18" customHeight="1" s="113">
      <c r="A418" s="184" t="inlineStr">
        <is>
          <t xml:space="preserve">  OPORTUNITATE DE TRADING</t>
        </is>
      </c>
    </row>
    <row r="419" ht="211" customHeight="1" s="113">
      <c r="A419" s="185" t="inlineStr">
        <is>
          <t>OPORTUNITATE DE CUMPĂRARE — 4 confluențe tehnice aliniate.
Probabilitate estimată de succes: 80%
PARAMETRI TRANZACȚIE:
  Entry (intrare recomandata) :  404.0400
  Stop Loss (SL)             :  387.5883     ← risc 4.1% din pozitie
  Take Profit (TP)           :  436.9433     ← recompensa 8.1%
  Risk/Reward Ratio          :  2.00x   BUN ★★
  ATR (volatilitate zilnica) :  10.9678
RR de 2.0x este solid și profesionist.
Cu un win rate de 40% și un RR constant de 2x, sistemul este matematic profitabil pe termen lung. Nu ceda tentației de a muta TP-ul prea devreme.
BONUS CONFIRMARE: Volum excepțional (2.3x medie).
Volumul ridicat crește semnificativ credibilitatea semnalului. Mișcările cu volum mare sunt mult mai puțin susceptibile de a fi false. Acesta este un semnal de calitate superioară.</t>
        </is>
      </c>
    </row>
    <row r="420" ht="18" customHeight="1" s="113">
      <c r="A420" s="184" t="inlineStr">
        <is>
          <t xml:space="preserve">  PATTERN GRAFIC DETECTAT</t>
        </is>
      </c>
    </row>
    <row r="421" ht="263" customHeight="1" s="113">
      <c r="A421" s="185" t="inlineStr">
        <is>
          <t>PATTERN ACTIV: GOLDEN CROSS
MA50 (455.94) &gt; MA200 (374.60) cu 21.71%.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
PATTERN POSIBIL: SELLING CLIMAX
Scădere -2.3% + RSI 16.9 supravândut + Volum 2.3x.
CE ESTE:
Selling climax = momentul în care TOȚI cei care voiau să vândă AU VÂNDUT. Volumul mare la un minim + RSI extrem = potențial punct de inversare.
CUM ARATĂ PE GRAFIC:
Caută un candle cu FITIL LUNG în jos și ÎNCHIDERE APROAPE DE MAXIM. Acesta se numește 'Hammer' sau 'Pin Bar' și semnifică că bulls au preluat controlul în cursul zilei respective.
ATENȚIE: Nu este garantat. Confirmă cu volumul scăzut a doua zi (vânzătorii s-au epuizat) și un candle bullish ulterior.</t>
        </is>
      </c>
    </row>
    <row r="422" ht="18" customHeight="1" s="113">
      <c r="A422" s="184" t="inlineStr">
        <is>
          <t xml:space="preserve">  LECȚIA ZILEI</t>
        </is>
      </c>
    </row>
    <row r="423" ht="393" customHeight="1" s="113">
      <c r="A423" s="185" t="inlineStr">
        <is>
          <t xml:space="preserve">
─────────────────────────────────────────────LECȚIE — 'FALLING KNIFE': CUM NU TE RĂNEȘTI:
RSI sub 30 atrage mulți traderi cu gândul 'e ieftin, cumpăr acum'. Aceasta este CAPCANA clasică a prețului în scădere.
Regula: RSI sub 30 este o condiție NECESARĂ pentru un BUY, nu una SUFICIENTĂ. Ai nevoie de CONFIRMARE:
  1. Un candle bullish solid (Hammer, Pin Bar, Engulfing verde)
  2. MACD care formează un crossover bullish
  3. Un nivel clar de suport ținut (prețul respinge un nivel cheie)
  4. Volum scăzut pe continuarea scăderii (vânzătorii se epuizează)
Fără aceste confirmări, 'ieftin poate deveni și mai ieftin'.
LECȚIE — GOLDEN CROSS: ÎNTÂRZIERE VS. ANTICIPARE:
Golden Cross este real și puternic, dar are un defect major: este un indicator LAGGING (cu întârziere). Apare DUPĂ ce prețul a urcat deja 10-30%.
Strategia amatorilor: cumpără exact la Golden Cross (prea târziu).
Strategia profesioniștilor: anticipează Golden Cross-ul.
Cum anticipezi:
  1. MA200 încetinește scăderea (se aplatizează)
  2. MA50 oprește scăderea și inversează
  3. RSI revine din sub 30 → zona 40-50
  4. MACD formează un bullish crossover la zero line
  5. Volumul crește pe zilele UP
Dacă bifezi 4 din 5 și Golden Cross nu s-a format încă — ACELA este momentul optim de cumpărare.</t>
        </is>
      </c>
    </row>
    <row r="424" ht="6" customHeight="1" s="113">
      <c r="A424" s="186" t="n"/>
      <c r="B424" s="186" t="n"/>
      <c r="C424" s="186" t="n"/>
    </row>
    <row r="426" ht="24" customHeight="1" s="113">
      <c r="A426" s="187" t="inlineStr">
        <is>
          <t xml:space="preserve">  TLT Bond ETF   |   Preț: 86.3850   |   Zi: +0.65%   |   RSI: 32.2   |   Confluențe: 3/5   |   SEMNAL: BUY  </t>
        </is>
      </c>
    </row>
    <row r="427" ht="18" customHeight="1" s="113">
      <c r="A427" s="184" t="inlineStr">
        <is>
          <t xml:space="preserve">  DE CE S-A MIȘCAT ASTĂZI</t>
        </is>
      </c>
    </row>
    <row r="428" ht="289" customHeight="1" s="113">
      <c r="A428" s="185" t="inlineStr">
        <is>
          <t>TLT Bond ETF a crescut ușor cu 0.65% astăzi (preț curent: 86.3850).
Pe săptămână: -1.22% | Pe lună: -3.59%.
Volum ușor peste medie (1.5x) — mișcarea are suport real din piață, fără anomalii. Participare normală spre ridicată.
RSI = 32.2 — Zonă slabă dar fără extremă.
Vânzătorii domină încă, dar presiunea începe să scadă. Urmărește o stabilizare a prețului și un candle bullish de confirmare înainte de a considera o intrare long.
MACD negativ (histogram: -0.2769).
Presiunea de vânzare domină pe termen scurt. Fii precaut cu pozițiile long în acest context.
GOLDEN CROSS ACTIV: MA50 (87.86) &gt; MA200 (86.75).
Cea mai importantă configurație bullish pe termen mediu-lung. Fondurile de pensii, ETF-urile și robo-advisors cumpără automat la Golden Cross. Trendul major este ascendent — scăderile sunt oportunități de cumpărare, nu semnale de panică.
Prețul în interiorul Bollinger (85.4698 — 90.9931). Nicio extremă pentru moment, volatilitate normală.
Stochastic %K = 17.0 — OVERSOLD (sub 20).
Presiune de vânzare excesivă pe termen scurt. Când %K depășește %D din jos în sus sub nivelul 20, este un semnal clasic de cumpărare pe termen scurt.
CONCLUZIE: Configurația tehnică este FAVORABILĂ CUMPĂRĂRII.
Momentul tehnic este bun. Riscul principal: o deteriorare bruscă a sentimentului global (VIX spike, știri macro negative) poate invalida setup-ul. Respectă strict stop loss-ul!</t>
        </is>
      </c>
    </row>
    <row r="429" ht="18" customHeight="1" s="113">
      <c r="A429" s="184" t="inlineStr">
        <is>
          <t xml:space="preserve">  OPORTUNITATE DE TRADING</t>
        </is>
      </c>
    </row>
    <row r="430" ht="172" customHeight="1" s="113">
      <c r="A430" s="185" t="inlineStr">
        <is>
          <t>OPORTUNITATE DE CUMPĂRARE — 3 confluențe tehnice aliniate.
Probabilitate estimată de succes: 70%
PARAMETRI TRANZACȚIE:
  Entry (intrare recomandata) :  86.3850
  Stop Loss (SL)             :  85.1614     ← risc 1.4% din pozitie
  Take Profit (TP)           :  88.8321     ← recompensa 2.8%
  Risk/Reward Ratio          :  2.00x   BUN ★★
  ATR (volatilitate zilnica) :  0.8157
RR de 2.0x este solid și profesionist.
Cu un win rate de 40% și un RR constant de 2x, sistemul este matematic profitabil pe termen lung. Nu ceda tentației de a muta TP-ul prea devreme.</t>
        </is>
      </c>
    </row>
    <row r="431" ht="18" customHeight="1" s="113">
      <c r="A431" s="184" t="inlineStr">
        <is>
          <t xml:space="preserve">  PATTERN GRAFIC DETECTAT</t>
        </is>
      </c>
    </row>
    <row r="432" ht="185" customHeight="1" s="113">
      <c r="A432" s="185" t="inlineStr">
        <is>
          <t>PATTERN ACTIV: GOLDEN CROSS
MA50 (87.86) &gt; MA200 (86.75) cu 1.27%.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
PATTERN: STOCHASTIC OVERSOLD CROSSOVER
%K (17.0) a depășit %D (15.9) din zona sub 25.
Semnal clasic de cumpărare pe termen scurt (1-5 zile). Cel mai eficient în piețele laterale (sideways range). Mai puțin fiabil în downtrend-uri puternice.</t>
        </is>
      </c>
    </row>
    <row r="433" ht="18" customHeight="1" s="113">
      <c r="A433" s="184" t="inlineStr">
        <is>
          <t xml:space="preserve">  LECȚIA ZILEI</t>
        </is>
      </c>
    </row>
    <row r="434" ht="393" customHeight="1" s="113">
      <c r="A434" s="185" t="inlineStr">
        <is>
          <t xml:space="preserve">
─────────────────────────────────────────────LECȚIE — GOLDEN CROSS: ÎNTÂRZIERE VS. ANTICIPARE:
Golden Cross este real și puternic, dar are un defect major: este un indicator LAGGING (cu întârziere). Apare DUPĂ ce prețul a urcat deja 10-30%.
Strategia amatorilor: cumpără exact la Golden Cross (prea târziu).
Strategia profesioniștilor: anticipează Golden Cross-ul.
Cum anticipezi:
  1. MA200 încetinește scăderea (se aplatizează)
  2. MA50 oprește scăderea și inversează
  3. RSI revine din sub 30 → zona 40-50
  4. MACD formează un bullish crossover la zero line
  5. Volumul crește pe zilele UP
Dacă bifezi 4 din 5 și Golden Cross nu s-a format încă — ACELA este momentul optim de cumpărare.
LECȚIE PSIHOLOGIE — EMOȚIILE ȘI PIERDEREA BANILOR:
Studiile arată că durerea unei pierderi de 100 lei este psihologic de 2x mai intensă decât bucuria unui câștig de 100 lei (Loss Aversion, Daniel Kahneman, Nobel 2002).
Cum afectează trading-ul:
  1. Ții pozițiile perdante prea mult ('o să revină')
  2. Vinzi pozițiile câștigătoare prea repede (frică să nu pierzi profitul)
  3. Dublezi pe pierdere pentru a 'recupera' (averaging down neselectiv)
  4. Faci revenge trading după o pierdere (emoție, nu analiză)
Soluția: PLAN SCRIS înainte de intrare. Entry, SL, TP, sizing — scrise pe hârtie sau în jurnal ÎNAINTE de a deschide poziția. Odată în poziție, lăsă planul să lucreze, nu emoțiile.</t>
        </is>
      </c>
    </row>
    <row r="435" ht="6" customHeight="1" s="113">
      <c r="A435" s="186" t="n"/>
      <c r="B435" s="186" t="n"/>
      <c r="C435" s="186" t="n"/>
    </row>
    <row r="437" ht="24" customHeight="1" s="113">
      <c r="A437" s="188" t="inlineStr">
        <is>
          <t xml:space="preserve">  ARKK   |   Preț: 70.9200   |   Zi: +2.56%   |   RSI: 46.6   |   Confluențe: 3/5   |   SEMNAL: SELL  </t>
        </is>
      </c>
    </row>
    <row r="438" ht="18" customHeight="1" s="113">
      <c r="A438" s="184" t="inlineStr">
        <is>
          <t xml:space="preserve">  DE CE S-A MIȘCAT ASTĂZI</t>
        </is>
      </c>
    </row>
    <row r="439" ht="250" customHeight="1" s="113">
      <c r="A439" s="185" t="inlineStr">
        <is>
          <t>ARKK a crescut moderat cu 2.56% astăzi (preț curent: 70.9200).
Pe săptămână: -2.93% | Pe lună: -1.60%.
Volum ușor peste medie (1.4x) — mișcarea are suport real din piață, fără anomalii. Participare normală spre ridicată.
RSI = 46.6 — Zonă NEUTRĂ.
Echilibru între cumpărători și vânzători. Piața caută direcție. Evita pozițiile mari până la o confirmare clară de trend.
MACD negativ (histogram: -0.1153).
Presiunea de vânzare domină pe termen scurt. Fii precaut cu pozițiile long în acest context.
DEATH CROSS ACTIV: MA50 (74.41) &lt; MA200 (77.15).
Semnal bearish major pe termen mediu-lung. Mulți investitori instituționali reduc expunerea automat la Death Cross. Creșterile temporare pot fi oportunități de vânzare (short) sau ieșire din poziții long.
Prețul în interiorul Bollinger (69.3508 — 75.6222). Nicio extremă pentru moment, volatilitate normală.
CONCLUZIE: Configurația tehnică indică PRESIUNE DE VÂNZARE.
Prudență cu pozițiile long existente. Dacă ești short, respectă stop loss-ul pentru a nu fi prins în rally-uri de recuperare (bear rallies).</t>
        </is>
      </c>
    </row>
    <row r="440" ht="18" customHeight="1" s="113">
      <c r="A440" s="184" t="inlineStr">
        <is>
          <t xml:space="preserve">  OPORTUNITATE DE TRADING</t>
        </is>
      </c>
    </row>
    <row r="441" ht="211" customHeight="1" s="113">
      <c r="A441" s="185" t="inlineStr">
        <is>
          <t>OPORTUNITATE SHORT / VÂNZARE — 3 confluențe tehnice aliniate.
Probabilitate estimată: 70%
PARAMETRI SHORT:
  Entry short                :  70.9200
  Stop Loss (SL)             :  74.4466     ← risc 5.0% din pozitie
  Take Profit (TP)           :  63.8668     ← target scadere 9.9%
  Risk/Reward Ratio          :  2.00x   BUN ★★
  ATR (volatilitate zilnica) :  2.3511
IMPORTANT — SHORT-UL este o strategie avansată:
  • Short-ul implică a vinde ceva ce nu deții (împrumutat)
  • Pierderea teoretică este NELIMITATĂ (prețul poate urca infinit)
  • Necesită cont de marjă și experiență prealabilă
  • Alternativa mai sigură: cumpără un ETF inversat sau opțiuni PUT</t>
        </is>
      </c>
    </row>
    <row r="442" ht="18" customHeight="1" s="113">
      <c r="A442" s="184" t="inlineStr">
        <is>
          <t xml:space="preserve">  PATTERN GRAFIC DETECTAT</t>
        </is>
      </c>
    </row>
    <row r="443" ht="120" customHeight="1" s="113">
      <c r="A443" s="185" t="inlineStr">
        <is>
          <t>PATTERN ACTIV: DEATH CROSS
MA50 (74.41) &lt; MA200 (77.15) cu 3.56%.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t>
        </is>
      </c>
    </row>
    <row r="444" ht="18" customHeight="1" s="113">
      <c r="A444" s="184" t="inlineStr">
        <is>
          <t xml:space="preserve">  LECȚIA ZILEI</t>
        </is>
      </c>
    </row>
    <row r="445" ht="341" customHeight="1" s="113">
      <c r="A445" s="185" t="inlineStr">
        <is>
          <t xml:space="preserve">
─────────────────────────────────────────────LECȚIE — DEATH CROSS: GREȘEALA CLASICĂ:
Death Cross apare adesea la MIJLOCUL unei corecții, nu la început. Dacă vinzi în panică la Death Cross, vinzi la jumătatea scăderii.
Strategia corectă:
  1. Reducerea expunerii la PRIMELE semnale (MA50 se aplatizează,      MACD bearish cross, volum crescut pe zile negative)
  2. La Death Cross complet format: evaluezi dacă teza investițională      mai este validă pe termen lung
  3. Dacă fundamentele sunt bune: Death Cross = oportunitate de      acumulare în etape (Dollar Cost Averaging)
  4. Dacă fundamentele s-au deteriorat: Death Cross = confirmare      că ai dreptate să ieși
Nu există un răspuns universal — contextul fundamental contează enorm.
LECȚIE PSIHOLOGIE — EMOȚIILE ȘI PIERDEREA BANILOR:
Studiile arată că durerea unei pierderi de 100 lei este psihologic de 2x mai intensă decât bucuria unui câștig de 100 lei (Loss Aversion, Daniel Kahneman, Nobel 2002).
Cum afectează trading-ul:
  1. Ții pozițiile perdante prea mult ('o să revină')
  2. Vinzi pozițiile câștigătoare prea repede (frică să nu pierzi profitul)
  3. Dublezi pe pierdere pentru a 'recupera' (averaging down neselectiv)
  4. Faci revenge trading după o pierdere (emoție, nu analiză)
Soluția: PLAN SCRIS înainte de intrare. Entry, SL, TP, sizing — scrise pe hârtie sau în jurnal ÎNAINTE de a deschide poziția. Odată în poziție, lăsă planul să lucreze, nu emoțiile.</t>
        </is>
      </c>
    </row>
    <row r="446" ht="6" customHeight="1" s="113">
      <c r="A446" s="186" t="n"/>
      <c r="B446" s="186" t="n"/>
      <c r="C446" s="186" t="n"/>
    </row>
    <row r="449" ht="28" customHeight="1" s="113">
      <c r="A449" s="182" t="inlineStr">
        <is>
          <t xml:space="preserve">  ══════  CRYPTOCURRENCY  ══════</t>
        </is>
      </c>
    </row>
    <row r="451" ht="24" customHeight="1" s="113">
      <c r="A451" s="188" t="inlineStr">
        <is>
          <t xml:space="preserve">  Bitcoin   |   Preț: 70,954.3438   |   Zi: +4.58%   |   RSI: 57.2   |   Confluențe: 3/5   |   SEMNAL: SELL  </t>
        </is>
      </c>
    </row>
    <row r="452" ht="18" customHeight="1" s="113">
      <c r="A452" s="184" t="inlineStr">
        <is>
          <t xml:space="preserve">  DE CE S-A MIȘCAT ASTĂZI</t>
        </is>
      </c>
    </row>
    <row r="453" ht="250" customHeight="1" s="113">
      <c r="A453" s="185" t="inlineStr">
        <is>
          <t>Bitcoin a crescut semnificativ cu 4.58% astăzi (preț curent: 70,954.3438).
Pe săptămână: +1.49% | Pe lună: -2.42%.
Volum ușor peste medie (1.2x) — mișcarea are suport real din piață, fără anomalii. Participare normală spre ridicată.
RSI = 57.2 — Momentum POZITIV.
Cumpărătorii au controlul, dar activul nu este încă supraevaluat. Zona 55-70 este adesea CEA MAI PROFITABILĂ pentru trend-following. Trendul bullish se menține solid.
MACD negativ (histogram: -65.1761).
Presiunea de vânzare domină pe termen scurt. Fii precaut cu pozițiile long în acest context.
DEATH CROSS ACTIV: MA50 (69,195.60) &lt; MA200 (92,374.75).
Semnal bearish major pe termen mediu-lung. Mulți investitori instituționali reduc expunerea automat la Death Cross. Creșterile temporare pot fi oportunități de vânzare (short) sau ieșire din poziții long.
Prețul în interiorul Bollinger (65,898.5554 — 74,792.1063). Nicio extremă pentru moment, volatilitate normală.
CONCLUZIE: Configurația tehnică indică PRESIUNE DE VÂNZARE.
Prudență cu pozițiile long existente. Dacă ești short, respectă stop loss-ul pentru a nu fi prins în rally-uri de recuperare (bear rallies).</t>
        </is>
      </c>
    </row>
    <row r="454" ht="18" customHeight="1" s="113">
      <c r="A454" s="184" t="inlineStr">
        <is>
          <t xml:space="preserve">  OPORTUNITATE DE TRADING</t>
        </is>
      </c>
    </row>
    <row r="455" ht="211" customHeight="1" s="113">
      <c r="A455" s="185" t="inlineStr">
        <is>
          <t>OPORTUNITATE SHORT / VÂNZARE — 3 confluențe tehnice aliniate.
Probabilitate estimată: 70%
PARAMETRI SHORT:
  Entry short                :  70,954.3438
  Stop Loss (SL)             :  74,889.6691     ← risc 5.5% din pozitie
  Take Profit (TP)           :  63,083.6931     ← target scadere 11.1%
  Risk/Reward Ratio          :  2.00x   BUN ★★
  ATR (volatilitate zilnica) :  2,623.5502
IMPORTANT — SHORT-UL este o strategie avansată:
  • Short-ul implică a vinde ceva ce nu deții (împrumutat)
  • Pierderea teoretică este NELIMITATĂ (prețul poate urca infinit)
  • Necesită cont de marjă și experiență prealabilă
  • Alternativa mai sigură: cumpără un ETF inversat sau opțiuni PUT</t>
        </is>
      </c>
    </row>
    <row r="456" ht="18" customHeight="1" s="113">
      <c r="A456" s="184" t="inlineStr">
        <is>
          <t xml:space="preserve">  PATTERN GRAFIC DETECTAT</t>
        </is>
      </c>
    </row>
    <row r="457" ht="120" customHeight="1" s="113">
      <c r="A457" s="185" t="inlineStr">
        <is>
          <t>PATTERN ACTIV: DEATH CROSS
MA50 (69,195.60) &lt; MA200 (92,374.75) cu 25.09%.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t>
        </is>
      </c>
    </row>
    <row r="458" ht="18" customHeight="1" s="113">
      <c r="A458" s="184" t="inlineStr">
        <is>
          <t xml:space="preserve">  LECȚIA ZILEI</t>
        </is>
      </c>
    </row>
    <row r="459" ht="341" customHeight="1" s="113">
      <c r="A459" s="185" t="inlineStr">
        <is>
          <t xml:space="preserve">
─────────────────────────────────────────────LECȚIE — DEATH CROSS: GREȘEALA CLASICĂ:
Death Cross apare adesea la MIJLOCUL unei corecții, nu la început. Dacă vinzi în panică la Death Cross, vinzi la jumătatea scăderii.
Strategia corectă:
  1. Reducerea expunerii la PRIMELE semnale (MA50 se aplatizează,      MACD bearish cross, volum crescut pe zile negative)
  2. La Death Cross complet format: evaluezi dacă teza investițională      mai este validă pe termen lung
  3. Dacă fundamentele sunt bune: Death Cross = oportunitate de      acumulare în etape (Dollar Cost Averaging)
  4. Dacă fundamentele s-au deteriorat: Death Cross = confirmare      că ai dreptate să ieși
Nu există un răspuns universal — contextul fundamental contează enorm.
LECȚIE PSIHOLOGIE — EMOȚIILE ȘI PIERDEREA BANILOR:
Studiile arată că durerea unei pierderi de 100 lei este psihologic de 2x mai intensă decât bucuria unui câștig de 100 lei (Loss Aversion, Daniel Kahneman, Nobel 2002).
Cum afectează trading-ul:
  1. Ții pozițiile perdante prea mult ('o să revină')
  2. Vinzi pozițiile câștigătoare prea repede (frică să nu pierzi profitul)
  3. Dublezi pe pierdere pentru a 'recupera' (averaging down neselectiv)
  4. Faci revenge trading după o pierdere (emoție, nu analiză)
Soluția: PLAN SCRIS înainte de intrare. Entry, SL, TP, sizing — scrise pe hârtie sau în jurnal ÎNAINTE de a deschide poziția. Odată în poziție, lăsă planul să lucreze, nu emoțiile.</t>
        </is>
      </c>
    </row>
    <row r="460" ht="6" customHeight="1" s="113">
      <c r="A460" s="186" t="n"/>
      <c r="B460" s="186" t="n"/>
      <c r="C460" s="186" t="n"/>
    </row>
    <row r="462" ht="24" customHeight="1" s="113">
      <c r="A462" s="183" t="inlineStr">
        <is>
          <t xml:space="preserve">  Ethereum   |   Preț: 2,160.3887   |   Zi: +5.23%   |   RSI: 60.7   |   Confluențe: 1/5   |   SEMNAL: WAIT  </t>
        </is>
      </c>
    </row>
    <row r="463" ht="18" customHeight="1" s="113">
      <c r="A463" s="184" t="inlineStr">
        <is>
          <t xml:space="preserve">  DE CE S-A MIȘCAT ASTĂZI</t>
        </is>
      </c>
    </row>
    <row r="464" ht="250" customHeight="1" s="113">
      <c r="A464" s="185" t="inlineStr">
        <is>
          <t>Ethereum a crescut semnificativ cu 5.23% astăzi (preț curent: 2,160.3887).
Pe săptămână: +1.07% | Pe lună: +1.59%.
Volum ușor peste medie (1.4x) — mișcarea are suport real din piață, fără anomalii. Participare normală spre ridicată.
RSI = 60.7 — Momentum POZITIV.
Cumpărătorii au controlul, dar activul nu este încă supraevaluat. Zona 55-70 este adesea CEA MAI PROFITABILĂ pentru trend-following. Trendul bullish se menține solid.
MACD pozitiv și crescător (histogram: +3.6890).
Momentumul bullish se menține, fără un crossover proaspăt. Trendul continuă dar fără accelerare nouă.
DEATH CROSS ACTIV: MA50 (2,047.41) &lt; MA200 (3,148.47).
Semnal bearish major pe termen mediu-lung. Mulți investitori instituționali reduc expunerea automat la Death Cross. Creșterile temporare pot fi oportunități de vânzare (short) sau ieșire din poziții long.
Prețul în interiorul Bollinger (1,889.4875 — 2,315.6891). Nicio extremă pentru moment, volatilitate normală.
CONCLUZIE: Semnalele sunt MIXTE — AȘTEPTARE recomandată.
Nu forța o tranzacție când piața nu are direcție clară. Cel mai bun trade uneori este să nu tranzacționezi.</t>
        </is>
      </c>
    </row>
    <row r="465" ht="18" customHeight="1" s="113">
      <c r="A465" s="184" t="inlineStr">
        <is>
          <t xml:space="preserve">  OPORTUNITATE DE TRADING</t>
        </is>
      </c>
    </row>
    <row r="466" ht="133" customHeight="1" s="113">
      <c r="A466" s="185" t="inlineStr">
        <is>
          <t>NU EXISTĂ OPORTUNITATE CLARĂ în acest moment.
Confluențe tehnice: 1/5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467" ht="18" customHeight="1" s="113">
      <c r="A467" s="184" t="inlineStr">
        <is>
          <t xml:space="preserve">  PATTERN GRAFIC DETECTAT</t>
        </is>
      </c>
    </row>
    <row r="468" ht="120" customHeight="1" s="113">
      <c r="A468" s="185" t="inlineStr">
        <is>
          <t>PATTERN ACTIV: DEATH CROSS
MA50 (2,047.41) &lt; MA200 (3,148.47) cu 34.97%.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t>
        </is>
      </c>
    </row>
    <row r="469" ht="18" customHeight="1" s="113">
      <c r="A469" s="184" t="inlineStr">
        <is>
          <t xml:space="preserve">  LECȚIA ZILEI</t>
        </is>
      </c>
    </row>
    <row r="470" ht="289" customHeight="1" s="113">
      <c r="A470" s="185" t="inlineStr">
        <is>
          <t xml:space="preserve">
─────────────────────────────────────────────LECȚIE — PUTEREA 'NU TRANZACȚIONEZ' :
Una dintre cele mai greu de aplicat lecții în trading este să nu faci nimic. Mulți traderi simt nevoia permanentă de a fi 'în piață'. Realitatea: marii profesioniști stau în cash sau neutral 60-70% din timp și atacă DOAR când setup-ul este perfect.
Jack Schwager, în cartea 'Market Wizards', a intervievat cei mai buni traderi din lume. Toți aveau în comun un lucru: SELECTIVITATE EXTREMĂ. Nu numărul de tranzacții te îmbogățește, ci CALITATEA lor.
Aplicare practică: stabilește-ți un checklist cu 5 condiții. Intri DOAR dacă toate 5 sunt bifate. Astăzi acest activ nu le bifează.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t>
        </is>
      </c>
    </row>
    <row r="471" ht="6" customHeight="1" s="113">
      <c r="A471" s="186" t="n"/>
      <c r="B471" s="186" t="n"/>
      <c r="C471" s="186" t="n"/>
    </row>
    <row r="473" ht="24" customHeight="1" s="113">
      <c r="A473" s="183" t="inlineStr">
        <is>
          <t xml:space="preserve">  Solana   |   Preț: 91.7150   |   Zi: +6.49%   |   RSI: 61.7   |   Confluențe: 1/5   |   SEMNAL: WAIT  </t>
        </is>
      </c>
    </row>
    <row r="474" ht="18" customHeight="1" s="113">
      <c r="A474" s="184" t="inlineStr">
        <is>
          <t xml:space="preserve">  DE CE S-A MIȘCAT ASTĂZI</t>
        </is>
      </c>
    </row>
    <row r="475" ht="250" customHeight="1" s="113">
      <c r="A475" s="185" t="inlineStr">
        <is>
          <t>Solana a crescut semnificativ cu 6.49% astăzi (preț curent: 91.7150).
Pe săptămână: +3.15% | Pe lună: +0.97%.
Volum ușor peste medie (1.4x) — mișcarea are suport real din piață, fără anomalii. Participare normală spre ridicată.
RSI = 61.7 — Momentum POZITIV.
Cumpărătorii au controlul, dar activul nu este încă supraevaluat. Zona 55-70 este adesea CEA MAI PROFITABILĂ pentru trend-following. Trendul bullish se menține solid.
MACD pozitiv și crescător (histogram: +0.2988).
Momentumul bullish se menține, fără un crossover proaspăt. Trendul continuă dar fără accelerare nouă.
DEATH CROSS ACTIV: MA50 (86.59) &lt; MA200 (144.96).
Semnal bearish major pe termen mediu-lung. Mulți investitori instituționali reduc expunerea automat la Death Cross. Creșterile temporare pot fi oportunități de vânzare (short) sau ieșire din poziții long.
Prețul în interiorul Bollinger (81.0065 — 95.6705). Nicio extremă pentru moment, volatilitate normală.
CONCLUZIE: Semnalele sunt MIXTE — AȘTEPTARE recomandată.
Nu forța o tranzacție când piața nu are direcție clară. Cel mai bun trade uneori este să nu tranzacționezi.</t>
        </is>
      </c>
    </row>
    <row r="476" ht="18" customHeight="1" s="113">
      <c r="A476" s="184" t="inlineStr">
        <is>
          <t xml:space="preserve">  OPORTUNITATE DE TRADING</t>
        </is>
      </c>
    </row>
    <row r="477" ht="133" customHeight="1" s="113">
      <c r="A477" s="185" t="inlineStr">
        <is>
          <t>NU EXISTĂ OPORTUNITATE CLARĂ în acest moment.
Confluențe tehnice: 1/5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478" ht="18" customHeight="1" s="113">
      <c r="A478" s="184" t="inlineStr">
        <is>
          <t xml:space="preserve">  PATTERN GRAFIC DETECTAT</t>
        </is>
      </c>
    </row>
    <row r="479" ht="120" customHeight="1" s="113">
      <c r="A479" s="185" t="inlineStr">
        <is>
          <t>PATTERN ACTIV: DEATH CROSS
MA50 (86.59) &lt; MA200 (144.96) cu 40.27%.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t>
        </is>
      </c>
    </row>
    <row r="480" ht="18" customHeight="1" s="113">
      <c r="A480" s="184" t="inlineStr">
        <is>
          <t xml:space="preserve">  LECȚIA ZILEI</t>
        </is>
      </c>
    </row>
    <row r="481" ht="289" customHeight="1" s="113">
      <c r="A481" s="185" t="inlineStr">
        <is>
          <t xml:space="preserve">
─────────────────────────────────────────────LECȚIE — PUTEREA 'NU TRANZACȚIONEZ' :
Una dintre cele mai greu de aplicat lecții în trading este să nu faci nimic. Mulți traderi simt nevoia permanentă de a fi 'în piață'. Realitatea: marii profesioniști stau în cash sau neutral 60-70% din timp și atacă DOAR când setup-ul este perfect.
Jack Schwager, în cartea 'Market Wizards', a intervievat cei mai buni traderi din lume. Toți aveau în comun un lucru: SELECTIVITATE EXTREMĂ. Nu numărul de tranzacții te îmbogățește, ci CALITATEA lor.
Aplicare practică: stabilește-ți un checklist cu 5 condiții. Intri DOAR dacă toate 5 sunt bifate. Astăzi acest activ nu le bifează.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t>
        </is>
      </c>
    </row>
    <row r="482" ht="6" customHeight="1" s="113">
      <c r="A482" s="186" t="n"/>
      <c r="B482" s="186" t="n"/>
      <c r="C482" s="186" t="n"/>
    </row>
    <row r="484" ht="24" customHeight="1" s="113">
      <c r="A484" s="183" t="inlineStr">
        <is>
          <t xml:space="preserve">  XRP   |   Preț: 1.4370   |   Zi: +3.77%   |   RSI: 59.5   |   Confluențe: 1/5   |   SEMNAL: WAIT  </t>
        </is>
      </c>
    </row>
    <row r="485" ht="18" customHeight="1" s="113">
      <c r="A485" s="184" t="inlineStr">
        <is>
          <t xml:space="preserve">  DE CE S-A MIȘCAT ASTĂZI</t>
        </is>
      </c>
    </row>
    <row r="486" ht="250" customHeight="1" s="113">
      <c r="A486" s="185" t="inlineStr">
        <is>
          <t>XRP a crescut semnificativ cu 3.77% astăzi (preț curent: 1.4370).
Pe săptămână: -0.71% | Pe lună: +0.48%.
Volum ușor peste medie (1.3x) — mișcarea are suport real din piață, fără anomalii. Participare normală spre ridicată.
RSI = 59.5 — Momentum POZITIV.
Cumpărătorii au controlul, dar activul nu este încă supraevaluat. Zona 55-70 este adesea CEA MAI PROFITABILĂ pentru trend-following. Trendul bullish se menține solid.
MACD pozitiv și crescător (histogram: +0.0039).
Momentumul bullish se menține, fără un crossover proaspăt. Trendul continuă dar fără accelerare nouă.
DEATH CROSS ACTIV: MA50 (1.42) &lt; MA200 (2.10).
Semnal bearish major pe termen mediu-lung. Mulți investitori instituționali reduc expunerea automat la Death Cross. Creșterile temporare pot fi oportunități de vânzare (short) sau ieșire din poziții long.
Prețul în interiorul Bollinger (1.3113 — 1.5201). Nicio extremă pentru moment, volatilitate normală.
CONCLUZIE: Semnalele sunt MIXTE — AȘTEPTARE recomandată.
Nu forța o tranzacție când piața nu are direcție clară. Cel mai bun trade uneori este să nu tranzacționezi.</t>
        </is>
      </c>
    </row>
    <row r="487" ht="18" customHeight="1" s="113">
      <c r="A487" s="184" t="inlineStr">
        <is>
          <t xml:space="preserve">  OPORTUNITATE DE TRADING</t>
        </is>
      </c>
    </row>
    <row r="488" ht="133" customHeight="1" s="113">
      <c r="A488" s="185" t="inlineStr">
        <is>
          <t>NU EXISTĂ OPORTUNITATE CLARĂ în acest moment.
Confluențe tehnice: 1/5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489" ht="18" customHeight="1" s="113">
      <c r="A489" s="184" t="inlineStr">
        <is>
          <t xml:space="preserve">  PATTERN GRAFIC DETECTAT</t>
        </is>
      </c>
    </row>
    <row r="490" ht="120" customHeight="1" s="113">
      <c r="A490" s="185" t="inlineStr">
        <is>
          <t>PATTERN ACTIV: DEATH CROSS
MA50 (1.42) &lt; MA200 (2.10) cu 32.41%.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t>
        </is>
      </c>
    </row>
    <row r="491" ht="18" customHeight="1" s="113">
      <c r="A491" s="184" t="inlineStr">
        <is>
          <t xml:space="preserve">  LECȚIA ZILEI</t>
        </is>
      </c>
    </row>
    <row r="492" ht="289" customHeight="1" s="113">
      <c r="A492" s="185" t="inlineStr">
        <is>
          <t xml:space="preserve">
─────────────────────────────────────────────LECȚIE — PUTEREA 'NU TRANZACȚIONEZ' :
Una dintre cele mai greu de aplicat lecții în trading este să nu faci nimic. Mulți traderi simt nevoia permanentă de a fi 'în piață'. Realitatea: marii profesioniști stau în cash sau neutral 60-70% din timp și atacă DOAR când setup-ul este perfect.
Jack Schwager, în cartea 'Market Wizards', a intervievat cei mai buni traderi din lume. Toți aveau în comun un lucru: SELECTIVITATE EXTREMĂ. Nu numărul de tranzacții te îmbogățește, ci CALITATEA lor.
Aplicare practică: stabilește-ți un checklist cu 5 condiții. Intri DOAR dacă toate 5 sunt bifate. Astăzi acest activ nu le bifează.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t>
        </is>
      </c>
    </row>
    <row r="493" ht="6" customHeight="1" s="113">
      <c r="A493" s="186" t="n"/>
      <c r="B493" s="186" t="n"/>
      <c r="C493" s="186" t="n"/>
    </row>
    <row r="495" ht="24" customHeight="1" s="113">
      <c r="A495" s="188" t="inlineStr">
        <is>
          <t xml:space="preserve">  Cardano   |   Preț: 0.2638   |   Zi: +5.27%   |   RSI: 54.7   |   Confluențe: 3/5   |   SEMNAL: SELL  </t>
        </is>
      </c>
    </row>
    <row r="496" ht="18" customHeight="1" s="113">
      <c r="A496" s="184" t="inlineStr">
        <is>
          <t xml:space="preserve">  DE CE S-A MIȘCAT ASTĂZI</t>
        </is>
      </c>
    </row>
    <row r="497" ht="250" customHeight="1" s="113">
      <c r="A497" s="185" t="inlineStr">
        <is>
          <t>Cardano a crescut semnificativ cu 5.27% astăzi (preț curent: 0.2638).
Pe săptămână: -1.33% | Pe lună: -4.45%.
Volum ușor peste medie (1.3x) — mișcarea are suport real din piață, fără anomalii. Participare normală spre ridicată.
RSI = 54.7 — Zonă NEUTRĂ.
Echilibru între cumpărători și vânzători. Piața caută direcție. Evita pozițiile mari până la o confirmare clară de trend.
MACD negativ (histogram: -0.0002).
Presiunea de vânzare domină pe termen scurt. Fii precaut cu pozițiile long în acest context.
DEATH CROSS ACTIV: MA50 (0.27) &lt; MA200 (0.48).
Semnal bearish major pe termen mediu-lung. Mulți investitori instituționali reduc expunerea automat la Death Cross. Creșterile temporare pot fi oportunități de vânzare (short) sau ieșire din poziții long.
Prețul în interiorul Bollinger (0.2437 — 0.2872). Nicio extremă pentru moment, volatilitate normală.
CONCLUZIE: Configurația tehnică indică PRESIUNE DE VÂNZARE.
Prudență cu pozițiile long existente. Dacă ești short, respectă stop loss-ul pentru a nu fi prins în rally-uri de recuperare (bear rallies).</t>
        </is>
      </c>
    </row>
    <row r="498" ht="18" customHeight="1" s="113">
      <c r="A498" s="184" t="inlineStr">
        <is>
          <t xml:space="preserve">  OPORTUNITATE DE TRADING</t>
        </is>
      </c>
    </row>
    <row r="499" ht="211" customHeight="1" s="113">
      <c r="A499" s="185" t="inlineStr">
        <is>
          <t>OPORTUNITATE SHORT / VÂNZARE — 3 confluențe tehnice aliniate.
Probabilitate estimată: 70%
PARAMETRI SHORT:
  Entry short                :  0.2638
  Stop Loss (SL)             :  0.2841     ← risc 7.7% din pozitie
  Take Profit (TP)           :  0.2233     ← target scadere 15.4%
  Risk/Reward Ratio          :  2.00x   BUN ★★
  ATR (volatilitate zilnica) :  0.0135
IMPORTANT — SHORT-UL este o strategie avansată:
  • Short-ul implică a vinde ceva ce nu deții (împrumutat)
  • Pierderea teoretică este NELIMITATĂ (prețul poate urca infinit)
  • Necesită cont de marjă și experiență prealabilă
  • Alternativa mai sigură: cumpără un ETF inversat sau opțiuni PUT</t>
        </is>
      </c>
    </row>
    <row r="500" ht="18" customHeight="1" s="113">
      <c r="A500" s="184" t="inlineStr">
        <is>
          <t xml:space="preserve">  PATTERN GRAFIC DETECTAT</t>
        </is>
      </c>
    </row>
    <row r="501" ht="120" customHeight="1" s="113">
      <c r="A501" s="185" t="inlineStr">
        <is>
          <t>PATTERN ACTIV: DEATH CROSS
MA50 (0.27) &lt; MA200 (0.48) cu 43.80%.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t>
        </is>
      </c>
    </row>
    <row r="502" ht="18" customHeight="1" s="113">
      <c r="A502" s="184" t="inlineStr">
        <is>
          <t xml:space="preserve">  LECȚIA ZILEI</t>
        </is>
      </c>
    </row>
    <row r="503" ht="341" customHeight="1" s="113">
      <c r="A503" s="185" t="inlineStr">
        <is>
          <t xml:space="preserve">
─────────────────────────────────────────────LECȚIE — DEATH CROSS: GREȘEALA CLASICĂ:
Death Cross apare adesea la MIJLOCUL unei corecții, nu la început. Dacă vinzi în panică la Death Cross, vinzi la jumătatea scăderii.
Strategia corectă:
  1. Reducerea expunerii la PRIMELE semnale (MA50 se aplatizează,      MACD bearish cross, volum crescut pe zile negative)
  2. La Death Cross complet format: evaluezi dacă teza investițională      mai este validă pe termen lung
  3. Dacă fundamentele sunt bune: Death Cross = oportunitate de      acumulare în etape (Dollar Cost Averaging)
  4. Dacă fundamentele s-au deteriorat: Death Cross = confirmare      că ai dreptate să ieși
Nu există un răspuns universal — contextul fundamental contează enorm.
LECȚIE PSIHOLOGIE — EMOȚIILE ȘI PIERDEREA BANILOR:
Studiile arată că durerea unei pierderi de 100 lei este psihologic de 2x mai intensă decât bucuria unui câștig de 100 lei (Loss Aversion, Daniel Kahneman, Nobel 2002).
Cum afectează trading-ul:
  1. Ții pozițiile perdante prea mult ('o să revină')
  2. Vinzi pozițiile câștigătoare prea repede (frică să nu pierzi profitul)
  3. Dublezi pe pierdere pentru a 'recupera' (averaging down neselectiv)
  4. Faci revenge trading după o pierdere (emoție, nu analiză)
Soluția: PLAN SCRIS înainte de intrare. Entry, SL, TP, sizing — scrise pe hârtie sau în jurnal ÎNAINTE de a deschide poziția. Odată în poziție, lăsă planul să lucreze, nu emoțiile.</t>
        </is>
      </c>
    </row>
    <row r="504" ht="6" customHeight="1" s="113">
      <c r="A504" s="186" t="n"/>
      <c r="B504" s="186" t="n"/>
      <c r="C504" s="186" t="n"/>
    </row>
    <row r="506" ht="24" customHeight="1" s="113">
      <c r="A506" s="188" t="inlineStr">
        <is>
          <t xml:space="preserve">  Avalanche   |   Preț: 9.5336   |   Zi: +5.71%   |   RSI: 54.1   |   Confluențe: 3/5   |   SEMNAL: SELL  </t>
        </is>
      </c>
    </row>
    <row r="507" ht="18" customHeight="1" s="113">
      <c r="A507" s="184" t="inlineStr">
        <is>
          <t xml:space="preserve">  DE CE S-A MIȘCAT ASTĂZI</t>
        </is>
      </c>
    </row>
    <row r="508" ht="250" customHeight="1" s="113">
      <c r="A508" s="185" t="inlineStr">
        <is>
          <t>Avalanche a crescut semnificativ cu 5.71% astăzi (preț curent: 9.5336).
Pe săptămână: +0.66% | Pe lună: +0.39%.
Volum ușor peste medie (1.3x) — mișcarea are suport real din piață, fără anomalii. Participare normală spre ridicată.
RSI = 54.1 — Zonă NEUTRĂ.
Echilibru între cumpărători și vânzători. Piața caută direcție. Evita pozițiile mari până la o confirmare clară de trend.
MACD negativ (histogram: -0.0336).
Presiunea de vânzare domină pe termen scurt. Fii precaut cu pozițiile long în acest context.
DEATH CROSS ACTIV: MA50 (9.27) &lt; MA200 (16.19).
Semnal bearish major pe termen mediu-lung. Mulți investitori instituționali reduc expunerea automat la Death Cross. Creșterile temporare pot fi oportunități de vânzare (short) sau ieșire din poziții long.
Prețul în interiorul Bollinger (8.6810 — 10.3364). Nicio extremă pentru moment, volatilitate normală.
CONCLUZIE: Configurația tehnică indică PRESIUNE DE VÂNZARE.
Prudență cu pozițiile long existente. Dacă ești short, respectă stop loss-ul pentru a nu fi prins în rally-uri de recuperare (bear rallies).</t>
        </is>
      </c>
    </row>
    <row r="509" ht="18" customHeight="1" s="113">
      <c r="A509" s="184" t="inlineStr">
        <is>
          <t xml:space="preserve">  OPORTUNITATE DE TRADING</t>
        </is>
      </c>
    </row>
    <row r="510" ht="211" customHeight="1" s="113">
      <c r="A510" s="185" t="inlineStr">
        <is>
          <t>OPORTUNITATE SHORT / VÂNZARE — 3 confluențe tehnice aliniate.
Probabilitate estimată: 70%
PARAMETRI SHORT:
  Entry short                :  9.5336
  Stop Loss (SL)             :  10.2281     ← risc 7.3% din pozitie
  Take Profit (TP)           :  8.1445     ← target scadere 14.6%
  Risk/Reward Ratio          :  2.00x   BUN ★★
  ATR (volatilitate zilnica) :  0.4630
IMPORTANT — SHORT-UL este o strategie avansată:
  • Short-ul implică a vinde ceva ce nu deții (împrumutat)
  • Pierderea teoretică este NELIMITATĂ (prețul poate urca infinit)
  • Necesită cont de marjă și experiență prealabilă
  • Alternativa mai sigură: cumpără un ETF inversat sau opțiuni PUT</t>
        </is>
      </c>
    </row>
    <row r="511" ht="18" customHeight="1" s="113">
      <c r="A511" s="184" t="inlineStr">
        <is>
          <t xml:space="preserve">  PATTERN GRAFIC DETECTAT</t>
        </is>
      </c>
    </row>
    <row r="512" ht="120" customHeight="1" s="113">
      <c r="A512" s="185" t="inlineStr">
        <is>
          <t>PATTERN ACTIV: DEATH CROSS
MA50 (9.27) &lt; MA200 (16.19) cu 42.75%.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t>
        </is>
      </c>
    </row>
    <row r="513" ht="18" customHeight="1" s="113">
      <c r="A513" s="184" t="inlineStr">
        <is>
          <t xml:space="preserve">  LECȚIA ZILEI</t>
        </is>
      </c>
    </row>
    <row r="514" ht="341" customHeight="1" s="113">
      <c r="A514" s="185" t="inlineStr">
        <is>
          <t xml:space="preserve">
─────────────────────────────────────────────LECȚIE — DEATH CROSS: GREȘEALA CLASICĂ:
Death Cross apare adesea la MIJLOCUL unei corecții, nu la început. Dacă vinzi în panică la Death Cross, vinzi la jumătatea scăderii.
Strategia corectă:
  1. Reducerea expunerii la PRIMELE semnale (MA50 se aplatizează,      MACD bearish cross, volum crescut pe zile negative)
  2. La Death Cross complet format: evaluezi dacă teza investițională      mai este validă pe termen lung
  3. Dacă fundamentele sunt bune: Death Cross = oportunitate de      acumulare în etape (Dollar Cost Averaging)
  4. Dacă fundamentele s-au deteriorat: Death Cross = confirmare      că ai dreptate să ieși
Nu există un răspuns universal — contextul fundamental contează enorm.
LECȚIE PSIHOLOGIE — EMOȚIILE ȘI PIERDEREA BANILOR:
Studiile arată că durerea unei pierderi de 100 lei este psihologic de 2x mai intensă decât bucuria unui câștig de 100 lei (Loss Aversion, Daniel Kahneman, Nobel 2002).
Cum afectează trading-ul:
  1. Ții pozițiile perdante prea mult ('o să revină')
  2. Vinzi pozițiile câștigătoare prea repede (frică să nu pierzi profitul)
  3. Dublezi pe pierdere pentru a 'recupera' (averaging down neselectiv)
  4. Faci revenge trading după o pierdere (emoție, nu analiză)
Soluția: PLAN SCRIS înainte de intrare. Entry, SL, TP, sizing — scrise pe hârtie sau în jurnal ÎNAINTE de a deschide poziția. Odată în poziție, lăsă planul să lucreze, nu emoțiile.</t>
        </is>
      </c>
    </row>
    <row r="515" ht="6" customHeight="1" s="113">
      <c r="A515" s="186" t="n"/>
      <c r="B515" s="186" t="n"/>
      <c r="C515" s="186" t="n"/>
    </row>
    <row r="517" ht="24" customHeight="1" s="113">
      <c r="A517" s="183" t="inlineStr">
        <is>
          <t xml:space="preserve">  Dogecoin   |   Preț: 0.0951   |   Zi: +5.53%   |   RSI: 56.7   |   Confluențe: 0/5   |   SEMNAL: WAIT  </t>
        </is>
      </c>
    </row>
    <row r="518" ht="18" customHeight="1" s="113">
      <c r="A518" s="184" t="inlineStr">
        <is>
          <t xml:space="preserve">  DE CE S-A MIȘCAT ASTĂZI</t>
        </is>
      </c>
    </row>
    <row r="519" ht="250" customHeight="1" s="113">
      <c r="A519" s="185" t="inlineStr">
        <is>
          <t>Dogecoin a crescut semnificativ cu 5.53% astăzi (preț curent: 0.0951).
Pe săptămână: +1.64% | Pe lună: -3.98%.
Volum ușor peste medie (1.2x) — mișcarea are suport real din piață, fără anomalii. Participare normală spre ridicată.
RSI = 56.7 — Momentum POZITIV.
Cumpărătorii au controlul, dar activul nu este încă supraevaluat. Zona 55-70 este adesea CEA MAI PROFITABILĂ pentru trend-following. Trendul bullish se menține solid.
MACD: BULLISH CROSSOVER CONFIRMAT (histogram: +0.0001).
Linia MACD a trecut DEASUPRA liniei de semnal — unul dintre cele mai puternice semnale de schimbare a direcției spre bullish. Momentumul câștigă forță în favoarea cumpărătorilor. Confirmă cu volumul crescut pentru un semnal de calitate.
DEATH CROSS ACTIV: MA50 (0.10) &lt; MA200 (0.16).
Semnal bearish major pe termen mediu-lung. Mulți investitori instituționali reduc expunerea automat la Death Cross. Creșterile temporare pot fi oportunități de vânzare (short) sau ieșire din poziții long.
Prețul în interiorul Bollinger (0.0871 — 0.1017). Nicio extremă pentru moment, volatilitate normală.
CONCLUZIE: Semnalele sunt MIXTE — AȘTEPTARE recomandată.
Nu forța o tranzacție când piața nu are direcție clară. Cel mai bun trade uneori este să nu tranzacționezi.</t>
        </is>
      </c>
    </row>
    <row r="520" ht="18" customHeight="1" s="113">
      <c r="A520" s="184" t="inlineStr">
        <is>
          <t xml:space="preserve">  OPORTUNITATE DE TRADING</t>
        </is>
      </c>
    </row>
    <row r="521" ht="133" customHeight="1" s="113">
      <c r="A521" s="185" t="inlineStr">
        <is>
          <t>NU EXISTĂ OPORTUNITATE CLARĂ în acest moment.
Confluențe tehnice: 0/5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522" ht="18" customHeight="1" s="113">
      <c r="A522" s="184" t="inlineStr">
        <is>
          <t xml:space="preserve">  PATTERN GRAFIC DETECTAT</t>
        </is>
      </c>
    </row>
    <row r="523" ht="276" customHeight="1" s="113">
      <c r="A523" s="185" t="inlineStr">
        <is>
          <t>PATTERN ACTIV: DEATH CROSS
MA50 (0.10) &lt; MA200 (0.16) cu 38.16%.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
PATTERN ACTIV: MACD BULLISH CROSSOVER
Histogramă: +0.000050 (trecere în teritoriu pozitiv).
CE ÎNSEAMNĂ PE GRAFIC:
Barele histogramei au trecut de la ROȘU (negativ) la VERDE (pozitiv). Linia MACD (rapidă) a depășit linia Signal (lentă).
CEL MAI PUTERNIC SEMNAL:
Crossover bullish care apare EXACT LA LINIA ZERO este considerat cel mai fiabil. Un crossover la -0.5 sau -1.0 (departe de zero) este mai slab.
CAPCANA:
MACD crossover pe VOLUM MIC poate fi fals. Confirmă întotdeauna cu volumul crescut! Rvol curent: 1.2x ✓ Confirmat.</t>
        </is>
      </c>
    </row>
    <row r="524" ht="18" customHeight="1" s="113">
      <c r="A524" s="184" t="inlineStr">
        <is>
          <t xml:space="preserve">  LECȚIA ZILEI</t>
        </is>
      </c>
    </row>
    <row r="525" ht="289" customHeight="1" s="113">
      <c r="A525" s="185" t="inlineStr">
        <is>
          <t xml:space="preserve">
─────────────────────────────────────────────LECȚIE — PUTEREA 'NU TRANZACȚIONEZ' :
Una dintre cele mai greu de aplicat lecții în trading este să nu faci nimic. Mulți traderi simt nevoia permanentă de a fi 'în piață'. Realitatea: marii profesioniști stau în cash sau neutral 60-70% din timp și atacă DOAR când setup-ul este perfect.
Jack Schwager, în cartea 'Market Wizards', a intervievat cei mai buni traderi din lume. Toți aveau în comun un lucru: SELECTIVITATE EXTREMĂ. Nu numărul de tranzacții te îmbogățește, ci CALITATEA lor.
Aplicare practică: stabilește-ți un checklist cu 5 condiții. Intri DOAR dacă toate 5 sunt bifate. Astăzi acest activ nu le bifează.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t>
        </is>
      </c>
    </row>
    <row r="526" ht="6" customHeight="1" s="113">
      <c r="A526" s="186" t="n"/>
      <c r="B526" s="186" t="n"/>
      <c r="C526" s="186" t="n"/>
    </row>
    <row r="528" ht="24" customHeight="1" s="113">
      <c r="A528" s="188" t="inlineStr">
        <is>
          <t xml:space="preserve">  Chainlink   |   Preț: 9.1497   |   Zi: +5.35%   |   RSI: 55.0   |   Confluențe: 3/5   |   SEMNAL: SELL  </t>
        </is>
      </c>
    </row>
    <row r="529" ht="18" customHeight="1" s="113">
      <c r="A529" s="184" t="inlineStr">
        <is>
          <t xml:space="preserve">  DE CE S-A MIȘCAT ASTĂZI</t>
        </is>
      </c>
    </row>
    <row r="530" ht="250" customHeight="1" s="113">
      <c r="A530" s="185" t="inlineStr">
        <is>
          <t>Chainlink a crescut semnificativ cu 5.35% astăzi (preț curent: 9.1497).
Pe săptămână: +1.13% | Pe lună: -2.13%.
Volum ușor peste medie (1.4x) — mișcarea are suport real din piață, fără anomalii. Participare normală spre ridicată.
RSI = 55.0 — Zonă NEUTRĂ.
Echilibru între cumpărători și vânzători. Piața caută direcție. Evita pozițiile mari până la o confirmare clară de trend.
MACD negativ (histogram: -0.0144).
Presiunea de vânzare domină pe termen scurt. Fii precaut cu pozițiile long în acest context.
DEATH CROSS ACTIV: MA50 (8.92) &lt; MA200 (14.34).
Semnal bearish major pe termen mediu-lung. Mulți investitori instituționali reduc expunerea automat la Death Cross. Creșterile temporare pot fi oportunități de vânzare (short) sau ieșire din poziții long.
Prețul în interiorul Bollinger (8.3948 — 9.7989). Nicio extremă pentru moment, volatilitate normală.
CONCLUZIE: Configurația tehnică indică PRESIUNE DE VÂNZARE.
Prudență cu pozițiile long existente. Dacă ești short, respectă stop loss-ul pentru a nu fi prins în rally-uri de recuperare (bear rallies).</t>
        </is>
      </c>
    </row>
    <row r="531" ht="18" customHeight="1" s="113">
      <c r="A531" s="184" t="inlineStr">
        <is>
          <t xml:space="preserve">  OPORTUNITATE DE TRADING</t>
        </is>
      </c>
    </row>
    <row r="532" ht="211" customHeight="1" s="113">
      <c r="A532" s="185" t="inlineStr">
        <is>
          <t>OPORTUNITATE SHORT / VÂNZARE — 3 confluențe tehnice aliniate.
Probabilitate estimată: 70%
PARAMETRI SHORT:
  Entry short                :  9.1497
  Stop Loss (SL)             :  9.7649     ← risc 6.7% din pozitie
  Take Profit (TP)           :  7.9195     ← target scadere 13.4%
  Risk/Reward Ratio          :  2.00x   BUN ★★
  ATR (volatilitate zilnica) :  0.4101
IMPORTANT — SHORT-UL este o strategie avansată:
  • Short-ul implică a vinde ceva ce nu deții (împrumutat)
  • Pierderea teoretică este NELIMITATĂ (prețul poate urca infinit)
  • Necesită cont de marjă și experiență prealabilă
  • Alternativa mai sigură: cumpără un ETF inversat sau opțiuni PUT</t>
        </is>
      </c>
    </row>
    <row r="533" ht="18" customHeight="1" s="113">
      <c r="A533" s="184" t="inlineStr">
        <is>
          <t xml:space="preserve">  PATTERN GRAFIC DETECTAT</t>
        </is>
      </c>
    </row>
    <row r="534" ht="120" customHeight="1" s="113">
      <c r="A534" s="185" t="inlineStr">
        <is>
          <t>PATTERN ACTIV: DEATH CROSS
MA50 (8.92) &lt; MA200 (14.34) cu 37.81%.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t>
        </is>
      </c>
    </row>
    <row r="535" ht="18" customHeight="1" s="113">
      <c r="A535" s="184" t="inlineStr">
        <is>
          <t xml:space="preserve">  LECȚIA ZILEI</t>
        </is>
      </c>
    </row>
    <row r="536" ht="341" customHeight="1" s="113">
      <c r="A536" s="185" t="inlineStr">
        <is>
          <t xml:space="preserve">
─────────────────────────────────────────────LECȚIE — DEATH CROSS: GREȘEALA CLASICĂ:
Death Cross apare adesea la MIJLOCUL unei corecții, nu la început. Dacă vinzi în panică la Death Cross, vinzi la jumătatea scăderii.
Strategia corectă:
  1. Reducerea expunerii la PRIMELE semnale (MA50 se aplatizează,      MACD bearish cross, volum crescut pe zile negative)
  2. La Death Cross complet format: evaluezi dacă teza investițională      mai este validă pe termen lung
  3. Dacă fundamentele sunt bune: Death Cross = oportunitate de      acumulare în etape (Dollar Cost Averaging)
  4. Dacă fundamentele s-au deteriorat: Death Cross = confirmare      că ai dreptate să ieși
Nu există un răspuns universal — contextul fundamental contează enorm.
LECȚIE PSIHOLOGIE — EMOȚIILE ȘI PIERDEREA BANILOR:
Studiile arată că durerea unei pierderi de 100 lei este psihologic de 2x mai intensă decât bucuria unui câștig de 100 lei (Loss Aversion, Daniel Kahneman, Nobel 2002).
Cum afectează trading-ul:
  1. Ții pozițiile perdante prea mult ('o să revină')
  2. Vinzi pozițiile câștigătoare prea repede (frică să nu pierzi profitul)
  3. Dublezi pe pierdere pentru a 'recupera' (averaging down neselectiv)
  4. Faci revenge trading după o pierdere (emoție, nu analiză)
Soluția: PLAN SCRIS înainte de intrare. Entry, SL, TP, sizing — scrise pe hârtie sau în jurnal ÎNAINTE de a deschide poziția. Odată în poziție, lăsă planul să lucreze, nu emoțiile.</t>
        </is>
      </c>
    </row>
    <row r="537" ht="6" customHeight="1" s="113">
      <c r="A537" s="186" t="n"/>
      <c r="B537" s="186" t="n"/>
      <c r="C537" s="186" t="n"/>
    </row>
    <row r="539" ht="24" customHeight="1" s="113">
      <c r="A539" s="183" t="inlineStr">
        <is>
          <t xml:space="preserve">  Polkadot   |   Preț: 1.4293   |   Zi: +1.26%   |   RSI: 45.0   |   Confluențe: 2/5   |   SEMNAL: WAIT  </t>
        </is>
      </c>
    </row>
    <row r="540" ht="18" customHeight="1" s="113">
      <c r="A540" s="184" t="inlineStr">
        <is>
          <t xml:space="preserve">  DE CE S-A MIȘCAT ASTĂZI</t>
        </is>
      </c>
    </row>
    <row r="541" ht="289" customHeight="1" s="113">
      <c r="A541" s="185" t="inlineStr">
        <is>
          <t>Polkadot a crescut moderat cu 1.26% astăzi (preț curent: 1.4293).
Pe săptămână: -6.24% | Pe lună: -7.32%.
Volum în linie cu media (1.2x) — nicio anomalie de participare.
RSI = 45.0 — Zonă NEUTRĂ.
Echilibru între cumpărători și vânzători. Piața caută direcție. Evita pozițiile mari până la o confirmare clară de trend.
MACD negativ (histogram: -0.0105).
Presiunea de vânzare domină pe termen scurt. Fii precaut cu pozițiile long în acest context.
DEATH CROSS ACTIV: MA50 (1.44) &lt; MA200 (2.45).
Semnal bearish major pe termen mediu-lung. Mulți investitori instituționali reduc expunerea automat la Death Cross. Creșterile temporare pot fi oportunități de vânzare (short) sau ieșire din poziții long.
Prețul în interiorul Bollinger (1.3712 — 1.6248). Nicio extremă pentru moment, volatilitate normală.
Stochastic %K = 13.3 — OVERSOLD (sub 20).
Presiune de vânzare excesivă pe termen scurt. Când %K depășește %D din jos în sus sub nivelul 20, este un semnal clasic de cumpărare pe termen scurt.
CONCLUZIE: Semnalele sunt MIXTE — AȘTEPTARE recomandată.
Nu forța o tranzacție când piața nu are direcție clară. Cel mai bun trade uneori este să nu tranzacționezi.</t>
        </is>
      </c>
    </row>
    <row r="542" ht="18" customHeight="1" s="113">
      <c r="A542" s="184" t="inlineStr">
        <is>
          <t xml:space="preserve">  OPORTUNITATE DE TRADING</t>
        </is>
      </c>
    </row>
    <row r="543" ht="133" customHeight="1" s="113">
      <c r="A543" s="185" t="inlineStr">
        <is>
          <t>NU EXISTĂ OPORTUNITATE CLARĂ în acest moment.
Confluențe tehnice: 2/5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544" ht="18" customHeight="1" s="113">
      <c r="A544" s="184" t="inlineStr">
        <is>
          <t xml:space="preserve">  PATTERN GRAFIC DETECTAT</t>
        </is>
      </c>
    </row>
    <row r="545" ht="250" customHeight="1" s="113">
      <c r="A545" s="185" t="inlineStr">
        <is>
          <t>PATTERN ACTIV: DEATH CROSS
MA50 (1.44) &lt; MA200 (2.45) cu 41.17%.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
PATTERN: TEST MA50
Prețul (1.4293) se află la -0.69% față de MA50 (1.44).
MA50 este CEL MAI URMĂRIT nivel dinamic de suport/rezistență. Un test al MA50 poate fi:
  BOUNCE (revenire): prețul respinge MA50 și continuă trendul → confirmă trendul
  BREAKDOWN: prețul sparge MA50 pe volum → semnal bearish
  FAKE: prețul taie MA50 dar revine rapid (whipsaw) → semn de piață slabă
Fii FOARTE ATENT la candle-ul de închidere față de MA50 azi!</t>
        </is>
      </c>
    </row>
    <row r="546" ht="18" customHeight="1" s="113">
      <c r="A546" s="184" t="inlineStr">
        <is>
          <t xml:space="preserve">  LECȚIA ZILEI</t>
        </is>
      </c>
    </row>
    <row r="547" ht="341" customHeight="1" s="113">
      <c r="A547" s="185" t="inlineStr">
        <is>
          <t xml:space="preserve">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
LECȚIE — DEATH CROSS: GREȘEALA CLASICĂ:
Death Cross apare adesea la MIJLOCUL unei corecții, nu la început. Dacă vinzi în panică la Death Cross, vinzi la jumătatea scăderii.
Strategia corectă:
  1. Reducerea expunerii la PRIMELE semnale (MA50 se aplatizează,      MACD bearish cross, volum crescut pe zile negative)
  2. La Death Cross complet format: evaluezi dacă teza investițională      mai este validă pe termen lung
  3. Dacă fundamentele sunt bune: Death Cross = oportunitate de      acumulare în etape (Dollar Cost Averaging)
  4. Dacă fundamentele s-au deteriorat: Death Cross = confirmare      că ai dreptate să ieși
Nu există un răspuns universal — contextul fundamental contează enorm.</t>
        </is>
      </c>
    </row>
    <row r="548" ht="6" customHeight="1" s="113">
      <c r="A548" s="186" t="n"/>
      <c r="B548" s="186" t="n"/>
      <c r="C548" s="186" t="n"/>
    </row>
    <row r="550" ht="24" customHeight="1" s="113">
      <c r="A550" s="183" t="inlineStr">
        <is>
          <t xml:space="preserve">  Litecoin   |   Preț: 55.7511   |   Zi: +4.23%   |   RSI: 56.9   |   Confluențe: 1/5   |   SEMNAL: WAIT  </t>
        </is>
      </c>
    </row>
    <row r="551" ht="18" customHeight="1" s="113">
      <c r="A551" s="184" t="inlineStr">
        <is>
          <t xml:space="preserve">  DE CE S-A MIȘCAT ASTĂZI</t>
        </is>
      </c>
    </row>
    <row r="552" ht="250" customHeight="1" s="113">
      <c r="A552" s="185" t="inlineStr">
        <is>
          <t>Litecoin a crescut semnificativ cu 4.23% astăzi (preț curent: 55.7511).
Pe săptămână: +0.44% | Pe lună: -1.83%.
Volum în linie cu media (1.1x) — nicio anomalie de participare.
RSI = 56.9 — Momentum POZITIV.
Cumpărătorii au controlul, dar activul nu este încă supraevaluat. Zona 55-70 este adesea CEA MAI PROFITABILĂ pentru trend-following. Trendul bullish se menține solid.
MACD pozitiv și crescător (histogram: +0.0457).
Momentumul bullish se menține, fără un crossover proaspăt. Trendul continuă dar fără accelerare nouă.
DEATH CROSS ACTIV: MA50 (54.83) &lt; MA200 (82.09).
Semnal bearish major pe termen mediu-lung. Mulți investitori instituționali reduc expunerea automat la Death Cross. Creșterile temporare pot fi oportunități de vânzare (short) sau ieșire din poziții long.
Prețul în interiorul Bollinger (52.1106 — 58.3012). Nicio extremă pentru moment, volatilitate normală.
CONCLUZIE: Semnalele sunt MIXTE — AȘTEPTARE recomandată.
Nu forța o tranzacție când piața nu are direcție clară. Cel mai bun trade uneori este să nu tranzacționezi.</t>
        </is>
      </c>
    </row>
    <row r="553" ht="18" customHeight="1" s="113">
      <c r="A553" s="184" t="inlineStr">
        <is>
          <t xml:space="preserve">  OPORTUNITATE DE TRADING</t>
        </is>
      </c>
    </row>
    <row r="554" ht="133" customHeight="1" s="113">
      <c r="A554" s="185" t="inlineStr">
        <is>
          <t>NU EXISTĂ OPORTUNITATE CLARĂ în acest moment.
Confluențe tehnice: 1/5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555" ht="18" customHeight="1" s="113">
      <c r="A555" s="184" t="inlineStr">
        <is>
          <t xml:space="preserve">  PATTERN GRAFIC DETECTAT</t>
        </is>
      </c>
    </row>
    <row r="556" ht="120" customHeight="1" s="113">
      <c r="A556" s="185" t="inlineStr">
        <is>
          <t>PATTERN ACTIV: DEATH CROSS
MA50 (54.83) &lt; MA200 (82.09) cu 33.20%.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t>
        </is>
      </c>
    </row>
    <row r="557" ht="18" customHeight="1" s="113">
      <c r="A557" s="184" t="inlineStr">
        <is>
          <t xml:space="preserve">  LECȚIA ZILEI</t>
        </is>
      </c>
    </row>
    <row r="558" ht="289" customHeight="1" s="113">
      <c r="A558" s="185" t="inlineStr">
        <is>
          <t xml:space="preserve">
─────────────────────────────────────────────LECȚIE — PUTEREA 'NU TRANZACȚIONEZ' :
Una dintre cele mai greu de aplicat lecții în trading este să nu faci nimic. Mulți traderi simt nevoia permanentă de a fi 'în piață'. Realitatea: marii profesioniști stau în cash sau neutral 60-70% din timp și atacă DOAR când setup-ul este perfect.
Jack Schwager, în cartea 'Market Wizards', a intervievat cei mai buni traderi din lume. Toți aveau în comun un lucru: SELECTIVITATE EXTREMĂ. Nu numărul de tranzacții te îmbogățește, ci CALITATEA lor.
Aplicare practică: stabilește-ți un checklist cu 5 condiții. Intri DOAR dacă toate 5 sunt bifate. Astăzi acest activ nu le bifează.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t>
        </is>
      </c>
    </row>
    <row r="559" ht="6" customHeight="1" s="113">
      <c r="A559" s="186" t="n"/>
      <c r="B559" s="186" t="n"/>
      <c r="C559" s="186" t="n"/>
    </row>
    <row r="561" ht="24" customHeight="1" s="113">
      <c r="A561" s="188" t="inlineStr">
        <is>
          <t xml:space="preserve">  Shiba Inu   |   Preț: 0.0000   |   Zi: +2.32%   |   RSI: 99.9   |   Confluențe: 3/5   |   SEMNAL: SELL  </t>
        </is>
      </c>
    </row>
    <row r="562" ht="18" customHeight="1" s="113">
      <c r="A562" s="184" t="inlineStr">
        <is>
          <t xml:space="preserve">  DE CE S-A MIȘCAT ASTĂZI</t>
        </is>
      </c>
    </row>
    <row r="563" ht="289" customHeight="1" s="113">
      <c r="A563" s="185" t="inlineStr">
        <is>
          <t>Shiba Inu a crescut moderat cu 2.32% astăzi (preț curent: 0.0000).
Pe săptămână: +2.32% | Pe lună: +2.32%.
Volum ușor peste medie (1.4x) — mișcarea are suport real din piață, fără anomalii. Participare normală spre ridicată.
RSI = 99.9 — ZONĂ SUPRAEVALUAT (peste 70).
Activul a crescut prea rapid. Probabilitatea unei corecții sau consolidări crește. Cei cu poziții long ar trebui să ia în considerare protejarea profiturilor (trailing stop sau reducere parțială a expunerii).
MACD pozitiv și crescător (histogram: +0.0000).
Momentumul bullish se menține, fără un crossover proaspăt. Trendul continuă dar fără accelerare nouă.
DEATH CROSS ACTIV: MA50 (0.00) &lt; MA200 (0.00).
Semnal bearish major pe termen mediu-lung. Mulți investitori instituționali reduc expunerea automat la Death Cross. Creșterile temporare pot fi oportunități de vânzare (short) sau ieșire din poziții long.
Prețul în interiorul Bollinger (0.0000 — 0.0000). Nicio extremă pentru moment, volatilitate normală.
Stochastic %K = 99.6 — OVERBOUGHT (peste 80).
Activul s-a apreciat rapid pe termen scurt. Când %K coboară sub %D din zona &gt;80, este semnal de vânzare / luare profit pe termen scurt.
CONCLUZIE: Configurația tehnică indică PRESIUNE DE VÂNZARE.
Prudență cu pozițiile long existente. Dacă ești short, respectă stop loss-ul pentru a nu fi prins în rally-uri de recuperare (bear rallies).</t>
        </is>
      </c>
    </row>
    <row r="564" ht="18" customHeight="1" s="113">
      <c r="A564" s="184" t="inlineStr">
        <is>
          <t xml:space="preserve">  OPORTUNITATE DE TRADING</t>
        </is>
      </c>
    </row>
    <row r="565" ht="211" customHeight="1" s="113">
      <c r="A565" s="185" t="inlineStr">
        <is>
          <t>OPORTUNITATE SHORT / VÂNZARE — 3 confluențe tehnice aliniate.
Probabilitate estimată: 70%
PARAMETRI SHORT:
  Entry short                :  0.0000
  Stop Loss (SL)             :  0.0000     ← risc 0.0% din pozitie
  Take Profit (TP)           :  0.0000     ← target scadere 0.0%
  Risk/Reward Ratio          :  0.00x   SLAB — reconsideră
  ATR (volatilitate zilnica) :  0.0000
IMPORTANT — SHORT-UL este o strategie avansată:
  • Short-ul implică a vinde ceva ce nu deții (împrumutat)
  • Pierderea teoretică este NELIMITATĂ (prețul poate urca infinit)
  • Necesită cont de marjă și experiență prealabilă
  • Alternativa mai sigură: cumpără un ETF inversat sau opțiuni PUT</t>
        </is>
      </c>
    </row>
    <row r="566" ht="18" customHeight="1" s="113">
      <c r="A566" s="184" t="inlineStr">
        <is>
          <t xml:space="preserve">  PATTERN GRAFIC DETECTAT</t>
        </is>
      </c>
    </row>
    <row r="567" ht="458" customHeight="1" s="113">
      <c r="A567" s="185" t="inlineStr">
        <is>
          <t>PATTERN ACTIV: DEATH CROSS
MA50 (0.00) &lt; MA200 (0.00) cu 33.33%.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
PATTERN POSIBIL: BUYING CLIMAX
Creștere 2.3% + RSI 99.9 supraevaluat + Volum 1.4x.
CE ESTE:
Buying climax = momentul maxim al euforiei. Smart money (marii jucători) VINDE în climax-urile de cumpărare, distribuind pozițiile lor investitorilor retail entuziaști (Distribution Phase).
CUM ARATĂ PE GRAFIC:
Candle cu umbră lungă în sus și închidere aproape de MINIM = 'Shooting Star' sau 'Bearish Engulfing' — semnal de inversare bearish.
Regula: când toată lumea e entuziastă și 'știe' că prețul va urca — fii cel mai precaut.
PATTERN: STOCHASTIC OVERBOUGHT CROSSOVER
%K (99.6) a coborât sub %D (99.9) din zona peste 75.
Semnal de luare a profitului / vânzare pe termen scurt.
PATTERN: TEST MA50
Prețul (0.0000) se află la +0.00% față de MA50 (0.00).
MA50 este CEL MAI URMĂRIT nivel dinamic de suport/rezistență. Un test al MA50 poate fi:
  BOUNCE (revenire): prețul respinge MA50 și continuă trendul → confirmă trendul
  BREAKDOWN: prețul sparge MA50 pe volum → semnal bearish
  FAKE: prețul taie MA50 dar revine rapid (whipsaw) → semn de piață slabă
Fii FOARTE ATENT la candle-ul de închidere față de MA50 azi!</t>
        </is>
      </c>
    </row>
    <row r="568" ht="18" customHeight="1" s="113">
      <c r="A568" s="184" t="inlineStr">
        <is>
          <t xml:space="preserve">  LECȚIA ZILEI</t>
        </is>
      </c>
    </row>
    <row r="569" ht="289" customHeight="1" s="113">
      <c r="A569" s="185" t="inlineStr">
        <is>
          <t xml:space="preserve">
─────────────────────────────────────────────LECȚIE — NU SHORT-UI ÎNTR-UN BULL MARKET:
RSI peste 70 nu înseamnă automat 'vinde'. NVIDIA în 2023-2024 a avut RSI peste 70 timp de 8 luni consecutive și a crescut cu 400% în acea perioadă.
Activele pot rămâne 'supraevaluate' luni întregi în bull market-uri puternice. Regula: short-ul pe RSI ridicat funcționează în piețe laterale sau bearish. În uptrend puternic (Golden Cross + volum crescut), short-ul pe RSI ridicat = rețetă pentru pierderi mari.
Alternativa corectă: dacă ești long, folosești trailing stop pentru a lăsa profitul să curgă și a te proteja simultan.
LECȚIE — DEATH CROSS: GREȘEALA CLASICĂ:
Death Cross apare adesea la MIJLOCUL unei corecții, nu la început. Dacă vinzi în panică la Death Cross, vinzi la jumătatea scăderii.
Strategia corectă:
  1. Reducerea expunerii la PRIMELE semnale (MA50 se aplatizează,      MACD bearish cross, volum crescut pe zile negative)
  2. La Death Cross complet format: evaluezi dacă teza investițională      mai este validă pe termen lung
  3. Dacă fundamentele sunt bune: Death Cross = oportunitate de      acumulare în etape (Dollar Cost Averaging)
  4. Dacă fundamentele s-au deteriorat: Death Cross = confirmare      că ai dreptate să ieși
Nu există un răspuns universal — contextul fundamental contează enorm.</t>
        </is>
      </c>
    </row>
    <row r="570" ht="6" customHeight="1" s="113">
      <c r="A570" s="186" t="n"/>
      <c r="B570" s="186" t="n"/>
      <c r="C570" s="186" t="n"/>
    </row>
    <row r="572" ht="24" customHeight="1" s="113">
      <c r="A572" s="183" t="inlineStr">
        <is>
          <t xml:space="preserve">  Uniswap   |   Preț: 0.0002   |   Zi: +0.00%   |   RSI: 45.5   |   Confluențe: 0/5   |   SEMNAL: WAIT  </t>
        </is>
      </c>
    </row>
    <row r="573" ht="18" customHeight="1" s="113">
      <c r="A573" s="184" t="inlineStr">
        <is>
          <t xml:space="preserve">  DE CE S-A MIȘCAT ASTĂZI</t>
        </is>
      </c>
    </row>
    <row r="574" ht="250" customHeight="1" s="113">
      <c r="A574" s="185" t="inlineStr">
        <is>
          <t>Uniswap a scăzut ușor cu 0.00% astăzi (preț curent: 0.0002).
Pe săptămână: +0.00% | Pe lună: -1.81%.
VOLUM SCĂZUT: 0.0x față de medie — ATENȚIE!
Mișcările pe volum mic sunt adesea false (fake moves). Marii jucători nu participă activ azi. Probabilitate crescută ca mișcarea să se inverseze sau să nu continue.
RSI = 45.5 — Zonă NEUTRĂ.
Echilibru între cumpărători și vânzători. Piața caută direcție. Evita pozițiile mari până la o confirmare clară de trend.
MACD pozitiv și crescător (histogram: +0.0000).
Momentumul bullish se menține, fără un crossover proaspăt. Trendul continuă dar fără accelerare nouă.
MA50 (N/A) și MA200 (N/A) aproape la același nivel — piața în tranziție, fără un trend major clar stabilit pe termen lung.
Prețul în interiorul Bollinger (0.0002 — 0.0002). Nicio extremă pentru moment, volatilitate normală.
CONCLUZIE: Semnalele sunt MIXTE — AȘTEPTARE recomandată.
Nu forța o tranzacție când piața nu are direcție clară. Cel mai bun trade uneori este să nu tranzacționezi.</t>
        </is>
      </c>
    </row>
    <row r="575" ht="18" customHeight="1" s="113">
      <c r="A575" s="184" t="inlineStr">
        <is>
          <t xml:space="preserve">  OPORTUNITATE DE TRADING</t>
        </is>
      </c>
    </row>
    <row r="576" ht="133" customHeight="1" s="113">
      <c r="A576" s="185" t="inlineStr">
        <is>
          <t>NU EXISTĂ OPORTUNITATE CLARĂ în acest moment.
Confluențe tehnice: 0/5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577" ht="18" customHeight="1" s="113">
      <c r="A577" s="184" t="inlineStr">
        <is>
          <t xml:space="preserve">  PATTERN GRAFIC DETECTAT</t>
        </is>
      </c>
    </row>
    <row r="578" ht="55" customHeight="1" s="113">
      <c r="A578" s="185" t="inlineStr">
        <is>
          <t>Nu există un pattern tehnic dominant clar astăzi.
Activul se află în faza de consolidare sau așteptare. Monitorizează zilnic pentru apariția unui setup clar. Răbdarea este o strategie validă.</t>
        </is>
      </c>
    </row>
    <row r="579" ht="18" customHeight="1" s="113">
      <c r="A579" s="184" t="inlineStr">
        <is>
          <t xml:space="preserve">  LECȚIA ZILEI</t>
        </is>
      </c>
    </row>
    <row r="580" ht="289" customHeight="1" s="113">
      <c r="A580" s="185" t="inlineStr">
        <is>
          <t xml:space="preserve">
─────────────────────────────────────────────LECȚIE — PUTEREA 'NU TRANZACȚIONEZ' :
Una dintre cele mai greu de aplicat lecții în trading este să nu faci nimic. Mulți traderi simt nevoia permanentă de a fi 'în piață'. Realitatea: marii profesioniști stau în cash sau neutral 60-70% din timp și atacă DOAR când setup-ul este perfect.
Jack Schwager, în cartea 'Market Wizards', a intervievat cei mai buni traderi din lume. Toți aveau în comun un lucru: SELECTIVITATE EXTREMĂ. Nu numărul de tranzacții te îmbogățește, ci CALITATEA lor.
Aplicare practică: stabilește-ți un checklist cu 5 condiții. Intri DOAR dacă toate 5 sunt bifate. Astăzi acest activ nu le bifează.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t>
        </is>
      </c>
    </row>
    <row r="581" ht="6" customHeight="1" s="113">
      <c r="A581" s="186" t="n"/>
      <c r="B581" s="186" t="n"/>
      <c r="C581" s="186" t="n"/>
    </row>
    <row r="583" ht="24" customHeight="1" s="113">
      <c r="A583" s="183" t="inlineStr">
        <is>
          <t xml:space="preserve">  Cosmos   |   Preț: 1.7852   |   Zi: +0.97%   |   RSI: 54.1   |   Confluențe: 1/5   |   SEMNAL: WAIT  </t>
        </is>
      </c>
    </row>
    <row r="584" ht="18" customHeight="1" s="113">
      <c r="A584" s="184" t="inlineStr">
        <is>
          <t xml:space="preserve">  DE CE S-A MIȘCAT ASTĂZI</t>
        </is>
      </c>
    </row>
    <row r="585" ht="289" customHeight="1" s="113">
      <c r="A585" s="185" t="inlineStr">
        <is>
          <t>Cosmos a crescut ușor cu 0.97% astăzi (preț curent: 1.7852).
Pe săptămână: -1.50% | Pe lună: -5.04%.
Volum în linie cu media (1.2x) — nicio anomalie de participare.
RSI = 54.1 — Zonă NEUTRĂ.
Echilibru între cumpărători și vânzători. Piața caută direcție. Evita pozițiile mari până la o confirmare clară de trend.
MACD pozitiv și crescător (histogram: +0.0014).
Momentumul bullish se menține, fără un crossover proaspăt. Trendul continuă dar fără accelerare nouă.
DEATH CROSS ACTIV: MA50 (1.96) &lt; MA200 (2.71).
Semnal bearish major pe termen mediu-lung. Mulți investitori instituționali reduc expunerea automat la Death Cross. Creșterile temporare pot fi oportunități de vânzare (short) sau ieșire din poziții long.
Prețul în interiorul Bollinger (1.7055 — 1.9624). Nicio extremă pentru moment, volatilitate normală.
Stochastic %K = 15.0 — OVERSOLD (sub 20).
Presiune de vânzare excesivă pe termen scurt. Când %K depășește %D din jos în sus sub nivelul 20, este un semnal clasic de cumpărare pe termen scurt.
CONCLUZIE: Semnalele sunt MIXTE — AȘTEPTARE recomandată.
Nu forța o tranzacție când piața nu are direcție clară. Cel mai bun trade uneori este să nu tranzacționezi.</t>
        </is>
      </c>
    </row>
    <row r="586" ht="18" customHeight="1" s="113">
      <c r="A586" s="184" t="inlineStr">
        <is>
          <t xml:space="preserve">  OPORTUNITATE DE TRADING</t>
        </is>
      </c>
    </row>
    <row r="587" ht="133" customHeight="1" s="113">
      <c r="A587" s="185" t="inlineStr">
        <is>
          <t>NU EXISTĂ OPORTUNITATE CLARĂ în acest moment.
Confluențe tehnice: 1/5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588" ht="18" customHeight="1" s="113">
      <c r="A588" s="184" t="inlineStr">
        <is>
          <t xml:space="preserve">  PATTERN GRAFIC DETECTAT</t>
        </is>
      </c>
    </row>
    <row r="589" ht="120" customHeight="1" s="113">
      <c r="A589" s="185" t="inlineStr">
        <is>
          <t>PATTERN ACTIV: DEATH CROSS
MA50 (1.96) &lt; MA200 (2.71) cu 27.85%.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t>
        </is>
      </c>
    </row>
    <row r="590" ht="18" customHeight="1" s="113">
      <c r="A590" s="184" t="inlineStr">
        <is>
          <t xml:space="preserve">  LECȚIA ZILEI</t>
        </is>
      </c>
    </row>
    <row r="591" ht="289" customHeight="1" s="113">
      <c r="A591" s="185" t="inlineStr">
        <is>
          <t xml:space="preserve">
─────────────────────────────────────────────LECȚIE — PUTEREA 'NU TRANZACȚIONEZ' :
Una dintre cele mai greu de aplicat lecții în trading este să nu faci nimic. Mulți traderi simt nevoia permanentă de a fi 'în piață'. Realitatea: marii profesioniști stau în cash sau neutral 60-70% din timp și atacă DOAR când setup-ul este perfect.
Jack Schwager, în cartea 'Market Wizards', a intervievat cei mai buni traderi din lume. Toți aveau în comun un lucru: SELECTIVITATE EXTREMĂ. Nu numărul de tranzacții te îmbogățește, ci CALITATEA lor.
Aplicare practică: stabilește-ți un checklist cu 5 condiții. Intri DOAR dacă toate 5 sunt bifate. Astăzi acest activ nu le bifează.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t>
        </is>
      </c>
    </row>
    <row r="592" ht="6" customHeight="1" s="113">
      <c r="A592" s="186" t="n"/>
      <c r="B592" s="186" t="n"/>
      <c r="C592" s="186" t="n"/>
    </row>
    <row r="594" ht="24" customHeight="1" s="113">
      <c r="A594" s="183" t="inlineStr">
        <is>
          <t xml:space="preserve">  Stellar   |   Preț: 0.1670   |   Zi: +7.10%   |   RSI: 64.3   |   Confluențe: 1/5   |   SEMNAL: WAIT  </t>
        </is>
      </c>
    </row>
    <row r="595" ht="18" customHeight="1" s="113">
      <c r="A595" s="184" t="inlineStr">
        <is>
          <t xml:space="preserve">  DE CE S-A MIȘCAT ASTĂZI</t>
        </is>
      </c>
    </row>
    <row r="596" ht="250" customHeight="1" s="113">
      <c r="A596" s="185" t="inlineStr">
        <is>
          <t>Stellar a crescut semnificativ cu 7.10% astăzi (preț curent: 0.1670).
Pe săptămână: +0.98% | Pe lună: +4.62%.
Volum ușor peste medie (1.3x) — mișcarea are suport real din piață, fără anomalii. Participare normală spre ridicată.
RSI = 64.3 — Momentum POZITIV.
Cumpărătorii au controlul, dar activul nu este încă supraevaluat. Zona 55-70 este adesea CEA MAI PROFITABILĂ pentru trend-following. Trendul bullish se menține solid.
MACD pozitiv și crescător (histogram: +0.0003).
Momentumul bullish se menține, fără un crossover proaspăt. Trendul continuă dar fără accelerare nouă.
DEATH CROSS ACTIV: MA50 (0.16) &lt; MA200 (0.25).
Semnal bearish major pe termen mediu-lung. Mulți investitori instituționali reduc expunerea automat la Death Cross. Creșterile temporare pot fi oportunități de vânzare (short) sau ieșire din poziții long.
Prețul în interiorul Bollinger (0.1459 — 0.1772). Nicio extremă pentru moment, volatilitate normală.
CONCLUZIE: Semnalele sunt MIXTE — AȘTEPTARE recomandată.
Nu forța o tranzacție când piața nu are direcție clară. Cel mai bun trade uneori este să nu tranzacționezi.</t>
        </is>
      </c>
    </row>
    <row r="597" ht="18" customHeight="1" s="113">
      <c r="A597" s="184" t="inlineStr">
        <is>
          <t xml:space="preserve">  OPORTUNITATE DE TRADING</t>
        </is>
      </c>
    </row>
    <row r="598" ht="133" customHeight="1" s="113">
      <c r="A598" s="185" t="inlineStr">
        <is>
          <t>NU EXISTĂ OPORTUNITATE CLARĂ în acest moment.
Confluențe tehnice: 1/5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599" ht="18" customHeight="1" s="113">
      <c r="A599" s="184" t="inlineStr">
        <is>
          <t xml:space="preserve">  PATTERN GRAFIC DETECTAT</t>
        </is>
      </c>
    </row>
    <row r="600" ht="120" customHeight="1" s="113">
      <c r="A600" s="185" t="inlineStr">
        <is>
          <t>PATTERN ACTIV: DEATH CROSS
MA50 (0.16) &lt; MA200 (0.25) cu 36.04%.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t>
        </is>
      </c>
    </row>
    <row r="601" ht="18" customHeight="1" s="113">
      <c r="A601" s="184" t="inlineStr">
        <is>
          <t xml:space="preserve">  LECȚIA ZILEI</t>
        </is>
      </c>
    </row>
    <row r="602" ht="289" customHeight="1" s="113">
      <c r="A602" s="185" t="inlineStr">
        <is>
          <t xml:space="preserve">
─────────────────────────────────────────────LECȚIE — PUTEREA 'NU TRANZACȚIONEZ' :
Una dintre cele mai greu de aplicat lecții în trading este să nu faci nimic. Mulți traderi simt nevoia permanentă de a fi 'în piață'. Realitatea: marii profesioniști stau în cash sau neutral 60-70% din timp și atacă DOAR când setup-ul este perfect.
Jack Schwager, în cartea 'Market Wizards', a intervievat cei mai buni traderi din lume. Toți aveau în comun un lucru: SELECTIVITATE EXTREMĂ. Nu numărul de tranzacții te îmbogățește, ci CALITATEA lor.
Aplicare practică: stabilește-ți un checklist cu 5 condiții. Intri DOAR dacă toate 5 sunt bifate. Astăzi acest activ nu le bifează.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t>
        </is>
      </c>
    </row>
    <row r="603" ht="6" customHeight="1" s="113">
      <c r="A603" s="186" t="n"/>
      <c r="B603" s="186" t="n"/>
      <c r="C603" s="186" t="n"/>
    </row>
    <row r="605" ht="24" customHeight="1" s="113">
      <c r="A605" s="183" t="inlineStr">
        <is>
          <t xml:space="preserve">  Monero   |   Preț: 352.6450   |   Zi: -2.60%   |   RSI: 54.7   |   Confluențe: 1/5   |   SEMNAL: WAIT  </t>
        </is>
      </c>
    </row>
    <row r="606" ht="18" customHeight="1" s="113">
      <c r="A606" s="184" t="inlineStr">
        <is>
          <t xml:space="preserve">  DE CE S-A MIȘCAT ASTĂZI</t>
        </is>
      </c>
    </row>
    <row r="607" ht="250" customHeight="1" s="113">
      <c r="A607" s="185" t="inlineStr">
        <is>
          <t>Monero a scăzut moderat cu 2.60% astăzi (preț curent: 352.6450).
Pe săptămână: +3.80% | Pe lună: -0.70%.
Volum ușor peste medie (1.3x) — mișcarea are suport real din piață, fără anomalii. Participare normală spre ridicată.
RSI = 54.7 — Zonă NEUTRĂ.
Echilibru între cumpărători și vânzători. Piața caută direcție. Evita pozițiile mari până la o confirmare clară de trend.
MACD pozitiv și crescător (histogram: +0.7095).
Momentumul bullish se menține, fără un crossover proaspăt. Trendul continuă dar fără accelerare nouă.
DEATH CROSS ACTIV: MA50 (343.82) &lt; MA200 (376.72).
Semnal bearish major pe termen mediu-lung. Mulți investitori instituționali reduc expunerea automat la Death Cross. Creșterile temporare pot fi oportunități de vânzare (short) sau ieșire din poziții long.
Prețul în interiorul Bollinger (332.9373 — 372.0274). Nicio extremă pentru moment, volatilitate normală.
CONCLUZIE: Semnalele sunt MIXTE — AȘTEPTARE recomandată.
Nu forța o tranzacție când piața nu are direcție clară. Cel mai bun trade uneori este să nu tranzacționezi.</t>
        </is>
      </c>
    </row>
    <row r="608" ht="18" customHeight="1" s="113">
      <c r="A608" s="184" t="inlineStr">
        <is>
          <t xml:space="preserve">  OPORTUNITATE DE TRADING</t>
        </is>
      </c>
    </row>
    <row r="609" ht="133" customHeight="1" s="113">
      <c r="A609" s="185" t="inlineStr">
        <is>
          <t>NU EXISTĂ OPORTUNITATE CLARĂ în acest moment.
Confluențe tehnice: 1/5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610" ht="18" customHeight="1" s="113">
      <c r="A610" s="184" t="inlineStr">
        <is>
          <t xml:space="preserve">  PATTERN GRAFIC DETECTAT</t>
        </is>
      </c>
    </row>
    <row r="611" ht="120" customHeight="1" s="113">
      <c r="A611" s="185" t="inlineStr">
        <is>
          <t>PATTERN ACTIV: DEATH CROSS
MA50 (343.82) &lt; MA200 (376.72) cu 8.73%.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t>
        </is>
      </c>
    </row>
    <row r="612" ht="18" customHeight="1" s="113">
      <c r="A612" s="184" t="inlineStr">
        <is>
          <t xml:space="preserve">  LECȚIA ZILEI</t>
        </is>
      </c>
    </row>
    <row r="613" ht="289" customHeight="1" s="113">
      <c r="A613" s="185" t="inlineStr">
        <is>
          <t xml:space="preserve">
─────────────────────────────────────────────LECȚIE — PUTEREA 'NU TRANZACȚIONEZ' :
Una dintre cele mai greu de aplicat lecții în trading este să nu faci nimic. Mulți traderi simt nevoia permanentă de a fi 'în piață'. Realitatea: marii profesioniști stau în cash sau neutral 60-70% din timp și atacă DOAR când setup-ul este perfect.
Jack Schwager, în cartea 'Market Wizards', a intervievat cei mai buni traderi din lume. Toți aveau în comun un lucru: SELECTIVITATE EXTREMĂ. Nu numărul de tranzacții te îmbogățește, ci CALITATEA lor.
Aplicare practică: stabilește-ți un checklist cu 5 condiții. Intri DOAR dacă toate 5 sunt bifate. Astăzi acest activ nu le bifează.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t>
        </is>
      </c>
    </row>
    <row r="614" ht="6" customHeight="1" s="113">
      <c r="A614" s="186" t="n"/>
      <c r="B614" s="186" t="n"/>
      <c r="C614" s="186" t="n"/>
    </row>
    <row r="616" ht="24" customHeight="1" s="113">
      <c r="A616" s="183" t="inlineStr">
        <is>
          <t xml:space="preserve">  Tron   |   Preț: 0.3050   |   Zi: -1.75%   |   RSI: 69.7   |   Confluențe: 2/5   |   SEMNAL: WAIT  </t>
        </is>
      </c>
    </row>
    <row r="617" ht="18" customHeight="1" s="113">
      <c r="A617" s="184" t="inlineStr">
        <is>
          <t xml:space="preserve">  DE CE S-A MIȘCAT ASTĂZI</t>
        </is>
      </c>
    </row>
    <row r="618" ht="250" customHeight="1" s="113">
      <c r="A618" s="185" t="inlineStr">
        <is>
          <t>Tron a scăzut moderat cu 1.75% astăzi (preț curent: 0.3050).
Pe săptămână: +0.51% | Pe lună: +6.26%.
Volum ușor peste medie (1.2x) — mișcarea are suport real din piață, fără anomalii. Participare normală spre ridicată.
RSI = 69.7 — Momentum POZITIV.
Cumpărătorii au controlul, dar activul nu este încă supraevaluat. Zona 55-70 este adesea CEA MAI PROFITABILĂ pentru trend-following. Trendul bullish se menține solid.
MACD pozitiv și crescător (histogram: +0.0014).
Momentumul bullish se menține, fără un crossover proaspăt. Trendul continuă dar fără accelerare nouă.
DEATH CROSS ACTIV: MA50 (0.29) &lt; MA200 (0.30).
Semnal bearish major pe termen mediu-lung. Mulți investitori instituționali reduc expunerea automat la Death Cross. Creșterile temporare pot fi oportunități de vânzare (short) sau ieșire din poziții long.
Prețul în interiorul Bollinger (0.2769 — 0.3153). Nicio extremă pentru moment, volatilitate normală.
CONCLUZIE: Semnalele sunt MIXTE — AȘTEPTARE recomandată.
Nu forța o tranzacție când piața nu are direcție clară. Cel mai bun trade uneori este să nu tranzacționezi.</t>
        </is>
      </c>
    </row>
    <row r="619" ht="18" customHeight="1" s="113">
      <c r="A619" s="184" t="inlineStr">
        <is>
          <t xml:space="preserve">  OPORTUNITATE DE TRADING</t>
        </is>
      </c>
    </row>
    <row r="620" ht="133" customHeight="1" s="113">
      <c r="A620" s="185" t="inlineStr">
        <is>
          <t>NU EXISTĂ OPORTUNITATE CLARĂ în acest moment.
Confluențe tehnice: 2/5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621" ht="18" customHeight="1" s="113">
      <c r="A621" s="184" t="inlineStr">
        <is>
          <t xml:space="preserve">  PATTERN GRAFIC DETECTAT</t>
        </is>
      </c>
    </row>
    <row r="622" ht="120" customHeight="1" s="113">
      <c r="A622" s="185" t="inlineStr">
        <is>
          <t>PATTERN ACTIV: DEATH CROSS
MA50 (0.29) &lt; MA200 (0.30) cu 4.16%.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t>
        </is>
      </c>
    </row>
    <row r="623" ht="18" customHeight="1" s="113">
      <c r="A623" s="184" t="inlineStr">
        <is>
          <t xml:space="preserve">  LECȚIA ZILEI</t>
        </is>
      </c>
    </row>
    <row r="624" ht="341" customHeight="1" s="113">
      <c r="A624" s="185" t="inlineStr">
        <is>
          <t xml:space="preserve">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
LECȚIE — DEATH CROSS: GREȘEALA CLASICĂ:
Death Cross apare adesea la MIJLOCUL unei corecții, nu la început. Dacă vinzi în panică la Death Cross, vinzi la jumătatea scăderii.
Strategia corectă:
  1. Reducerea expunerii la PRIMELE semnale (MA50 se aplatizează,      MACD bearish cross, volum crescut pe zile negative)
  2. La Death Cross complet format: evaluezi dacă teza investițională      mai este validă pe termen lung
  3. Dacă fundamentele sunt bune: Death Cross = oportunitate de      acumulare în etape (Dollar Cost Averaging)
  4. Dacă fundamentele s-au deteriorat: Death Cross = confirmare      că ai dreptate să ieși
Nu există un răspuns universal — contextul fundamental contează enorm.</t>
        </is>
      </c>
    </row>
    <row r="625" ht="6" customHeight="1" s="113">
      <c r="A625" s="186" t="n"/>
      <c r="B625" s="186" t="n"/>
      <c r="C625" s="186" t="n"/>
    </row>
    <row r="627" ht="24" customHeight="1" s="113">
      <c r="A627" s="183" t="inlineStr">
        <is>
          <t xml:space="preserve">  Filecoin   |   Preț: 0.9345   |   Zi: +10.33%   |   RSI: 49.7   |   Confluențe: 0/5   |   SEMNAL: WAIT  </t>
        </is>
      </c>
    </row>
    <row r="628" ht="18" customHeight="1" s="113">
      <c r="A628" s="184" t="inlineStr">
        <is>
          <t xml:space="preserve">  DE CE S-A MIȘCAT ASTĂZI</t>
        </is>
      </c>
    </row>
    <row r="629" ht="289" customHeight="1" s="113">
      <c r="A629" s="185" t="inlineStr">
        <is>
          <t>Filecoin a crescut semnificativ cu 10.33% astăzi (preț curent: 0.9345).
Pe săptămână: +4.54% | Pe lună: -8.78%.
Volum ușor peste medie (1.4x) — mișcarea are suport real din piață, fără anomalii. Participare normală spre ridicată.
RSI = 49.7 — Zonă NEUTRĂ.
Echilibru între cumpărători și vânzători. Piața caută direcție. Evita pozițiile mari până la o confirmare clară de trend.
MACD: BULLISH CROSSOVER CONFIRMAT (histogram: +0.0021).
Linia MACD a trecut DEASUPRA liniei de semnal — unul dintre cele mai puternice semnale de schimbare a direcției spre bullish. Momentumul câștigă forță în favoarea cumpărătorilor. Confirmă cu volumul crescut pentru un semnal de calitate.
DEATH CROSS ACTIV: MA50 (0.95) &lt; MA200 (1.55).
Semnal bearish major pe termen mediu-lung. Mulți investitori instituționali reduc expunerea automat la Death Cross. Creșterile temporare pot fi oportunități de vânzare (short) sau ieșire din poziții long.
Prețul în interiorul Bollinger (0.8188 — 1.0258). Nicio extremă pentru moment, volatilitate normală.
Momentum 10 zile: +7.46% — PUTERNIC POZITIV.
Activul a acumulat câștiguri consistente în ultimele 2 săptămâni. Trendul pe termen scurt este bullish solid.
CONCLUZIE: Semnalele sunt MIXTE — AȘTEPTARE recomandată.
Nu forța o tranzacție când piața nu are direcție clară. Cel mai bun trade uneori este să nu tranzacționezi.</t>
        </is>
      </c>
    </row>
    <row r="630" ht="18" customHeight="1" s="113">
      <c r="A630" s="184" t="inlineStr">
        <is>
          <t xml:space="preserve">  OPORTUNITATE DE TRADING</t>
        </is>
      </c>
    </row>
    <row r="631" ht="133" customHeight="1" s="113">
      <c r="A631" s="185" t="inlineStr">
        <is>
          <t>NU EXISTĂ OPORTUNITATE CLARĂ în acest moment.
Confluențe tehnice: 0/5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632" ht="18" customHeight="1" s="113">
      <c r="A632" s="184" t="inlineStr">
        <is>
          <t xml:space="preserve">  PATTERN GRAFIC DETECTAT</t>
        </is>
      </c>
    </row>
    <row r="633" ht="276" customHeight="1" s="113">
      <c r="A633" s="185" t="inlineStr">
        <is>
          <t>PATTERN ACTIV: DEATH CROSS
MA50 (0.95) &lt; MA200 (1.55) cu 38.76%.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
PATTERN ACTIV: MACD BULLISH CROSSOVER
Histogramă: +0.002067 (trecere în teritoriu pozitiv).
CE ÎNSEAMNĂ PE GRAFIC:
Barele histogramei au trecut de la ROȘU (negativ) la VERDE (pozitiv). Linia MACD (rapidă) a depășit linia Signal (lentă).
CEL MAI PUTERNIC SEMNAL:
Crossover bullish care apare EXACT LA LINIA ZERO este considerat cel mai fiabil. Un crossover la -0.5 sau -1.0 (departe de zero) este mai slab.
CAPCANA:
MACD crossover pe VOLUM MIC poate fi fals. Confirmă întotdeauna cu volumul crescut! Rvol curent: 1.4x ✓ Confirmat.</t>
        </is>
      </c>
    </row>
    <row r="634" ht="18" customHeight="1" s="113">
      <c r="A634" s="184" t="inlineStr">
        <is>
          <t xml:space="preserve">  LECȚIA ZILEI</t>
        </is>
      </c>
    </row>
    <row r="635" ht="289" customHeight="1" s="113">
      <c r="A635" s="185" t="inlineStr">
        <is>
          <t xml:space="preserve">
─────────────────────────────────────────────LECȚIE — PUTEREA 'NU TRANZACȚIONEZ' :
Una dintre cele mai greu de aplicat lecții în trading este să nu faci nimic. Mulți traderi simt nevoia permanentă de a fi 'în piață'. Realitatea: marii profesioniști stau în cash sau neutral 60-70% din timp și atacă DOAR când setup-ul este perfect.
Jack Schwager, în cartea 'Market Wizards', a intervievat cei mai buni traderi din lume. Toți aveau în comun un lucru: SELECTIVITATE EXTREMĂ. Nu numărul de tranzacții te îmbogățește, ci CALITATEA lor.
Aplicare practică: stabilește-ți un checklist cu 5 condiții. Intri DOAR dacă toate 5 sunt bifate. Astăzi acest activ nu le bifează.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t>
        </is>
      </c>
    </row>
    <row r="636" ht="6" customHeight="1" s="113">
      <c r="A636" s="186" t="n"/>
      <c r="B636" s="186" t="n"/>
      <c r="C636" s="186" t="n"/>
    </row>
    <row r="638" ht="24" customHeight="1" s="113">
      <c r="A638" s="188" t="inlineStr">
        <is>
          <t xml:space="preserve">  Aave   |   Preț: 110.2446   |   Zi: +3.67%   |   RSI: 54.6   |   Confluențe: 3/5   |   SEMNAL: SELL  </t>
        </is>
      </c>
    </row>
    <row r="639" ht="18" customHeight="1" s="113">
      <c r="A639" s="184" t="inlineStr">
        <is>
          <t xml:space="preserve">  DE CE S-A MIȘCAT ASTĂZI</t>
        </is>
      </c>
    </row>
    <row r="640" ht="250" customHeight="1" s="113">
      <c r="A640" s="185" t="inlineStr">
        <is>
          <t>Aave a crescut semnificativ cu 3.67% astăzi (preț curent: 110.2446).
Pe săptămână: -1.23% | Pe lună: -4.86%.
Volum în linie cu media (1.1x) — nicio anomalie de participare.
RSI = 54.6 — Zonă NEUTRĂ.
Echilibru între cumpărători și vânzători. Piața caută direcție. Evita pozițiile mari până la o confirmare clară de trend.
MACD negativ (histogram: -0.0418).
Presiunea de vânzare domină pe termen scurt. Fii precaut cu pozițiile long în acest context.
DEATH CROSS ACTIV: MA50 (115.40) &lt; MA200 (186.31).
Semnal bearish major pe termen mediu-lung. Mulți investitori instituționali reduc expunerea automat la Death Cross. Creșterile temporare pot fi oportunități de vânzare (short) sau ieșire din poziții long.
Prețul în interiorul Bollinger (103.3787 — 120.9509). Nicio extremă pentru moment, volatilitate normală.
CONCLUZIE: Configurația tehnică indică PRESIUNE DE VÂNZARE.
Prudență cu pozițiile long existente. Dacă ești short, respectă stop loss-ul pentru a nu fi prins în rally-uri de recuperare (bear rallies).</t>
        </is>
      </c>
    </row>
    <row r="641" ht="18" customHeight="1" s="113">
      <c r="A641" s="184" t="inlineStr">
        <is>
          <t xml:space="preserve">  OPORTUNITATE DE TRADING</t>
        </is>
      </c>
    </row>
    <row r="642" ht="211" customHeight="1" s="113">
      <c r="A642" s="185" t="inlineStr">
        <is>
          <t>OPORTUNITATE SHORT / VÂNZARE — 3 confluențe tehnice aliniate.
Probabilitate estimată: 65%
PARAMETRI SHORT:
  Entry short                :  110.2446
  Stop Loss (SL)             :  119.3714     ← risc 8.3% din pozitie
  Take Profit (TP)           :  91.9910     ← target scadere 16.6%
  Risk/Reward Ratio          :  2.00x   BUN ★★
  ATR (volatilitate zilnica) :  6.0845
IMPORTANT — SHORT-UL este o strategie avansată:
  • Short-ul implică a vinde ceva ce nu deții (împrumutat)
  • Pierderea teoretică este NELIMITATĂ (prețul poate urca infinit)
  • Necesită cont de marjă și experiență prealabilă
  • Alternativa mai sigură: cumpără un ETF inversat sau opțiuni PUT</t>
        </is>
      </c>
    </row>
    <row r="643" ht="18" customHeight="1" s="113">
      <c r="A643" s="184" t="inlineStr">
        <is>
          <t xml:space="preserve">  PATTERN GRAFIC DETECTAT</t>
        </is>
      </c>
    </row>
    <row r="644" ht="120" customHeight="1" s="113">
      <c r="A644" s="185" t="inlineStr">
        <is>
          <t>PATTERN ACTIV: DEATH CROSS
MA50 (115.40) &lt; MA200 (186.31) cu 38.06%.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t>
        </is>
      </c>
    </row>
    <row r="645" ht="18" customHeight="1" s="113">
      <c r="A645" s="184" t="inlineStr">
        <is>
          <t xml:space="preserve">  LECȚIA ZILEI</t>
        </is>
      </c>
    </row>
    <row r="646" ht="341" customHeight="1" s="113">
      <c r="A646" s="185" t="inlineStr">
        <is>
          <t xml:space="preserve">
─────────────────────────────────────────────LECȚIE — DEATH CROSS: GREȘEALA CLASICĂ:
Death Cross apare adesea la MIJLOCUL unei corecții, nu la început. Dacă vinzi în panică la Death Cross, vinzi la jumătatea scăderii.
Strategia corectă:
  1. Reducerea expunerii la PRIMELE semnale (MA50 se aplatizează,      MACD bearish cross, volum crescut pe zile negative)
  2. La Death Cross complet format: evaluezi dacă teza investițională      mai este validă pe termen lung
  3. Dacă fundamentele sunt bune: Death Cross = oportunitate de      acumulare în etape (Dollar Cost Averaging)
  4. Dacă fundamentele s-au deteriorat: Death Cross = confirmare      că ai dreptate să ieși
Nu există un răspuns universal — contextul fundamental contează enorm.
LECȚIE PSIHOLOGIE — EMOȚIILE ȘI PIERDEREA BANILOR:
Studiile arată că durerea unei pierderi de 100 lei este psihologic de 2x mai intensă decât bucuria unui câștig de 100 lei (Loss Aversion, Daniel Kahneman, Nobel 2002).
Cum afectează trading-ul:
  1. Ții pozițiile perdante prea mult ('o să revină')
  2. Vinzi pozițiile câștigătoare prea repede (frică să nu pierzi profitul)
  3. Dublezi pe pierdere pentru a 'recupera' (averaging down neselectiv)
  4. Faci revenge trading după o pierdere (emoție, nu analiză)
Soluția: PLAN SCRIS înainte de intrare. Entry, SL, TP, sizing — scrise pe hârtie sau în jurnal ÎNAINTE de a deschide poziția. Odată în poziție, lăsă planul să lucreze, nu emoțiile.</t>
        </is>
      </c>
    </row>
    <row r="647" ht="6" customHeight="1" s="113">
      <c r="A647" s="186" t="n"/>
      <c r="B647" s="186" t="n"/>
      <c r="C647" s="186" t="n"/>
    </row>
    <row r="649" ht="24" customHeight="1" s="113">
      <c r="A649" s="188" t="inlineStr">
        <is>
          <t xml:space="preserve">  Arbitrum   |   Preț: 0.0009   |   Zi: +0.03%   |   RSI: 99.4   |   Confluențe: 3/5   |   SEMNAL: SELL  </t>
        </is>
      </c>
    </row>
    <row r="650" ht="18" customHeight="1" s="113">
      <c r="A650" s="184" t="inlineStr">
        <is>
          <t xml:space="preserve">  DE CE S-A MIȘCAT ASTĂZI</t>
        </is>
      </c>
    </row>
    <row r="651" ht="302" customHeight="1" s="113">
      <c r="A651" s="185" t="inlineStr">
        <is>
          <t>Arbitrum a crescut ușor cu 0.03% astăzi (preț curent: 0.0009).
Pe săptămână: +0.03% | Pe lună: +0.03%.
Volum în linie cu media (1.0x) — nicio anomalie de participare.
RSI = 99.4 — ZONĂ SUPRAEVALUAT (peste 70).
Activul a crescut prea rapid. Probabilitatea unei corecții sau consolidări crește. Cei cu poziții long ar trebui să ia în considerare protejarea profiturilor (trailing stop sau reducere parțială a expunerii).
MACD pozitiv și crescător (histogram: +0.0000).
Momentumul bullish se menține, fără un crossover proaspăt. Trendul continuă dar fără accelerare nouă.
DEATH CROSS ACTIV: MA50 (0.00) &lt; MA200 (0.00).
Semnal bearish major pe termen mediu-lung. Mulți investitori instituționali reduc expunerea automat la Death Cross. Creșterile temporare pot fi oportunități de vânzare (short) sau ieșire din poziții long.
PREȚ LA BANDA SUPERIOARĂ Bollinger (0.0009).
Statistic, prețul revine spre medie în ~80% din cazuri după atingerea benzii superioare. Semnal: posibilă supraextindere pe termen scurt — risc crescut de corecție iminentă sau consolidare orizontală.
Stochastic %K = 100.0 — OVERBOUGHT (peste 80).
Activul s-a apreciat rapid pe termen scurt. Când %K coboară sub %D din zona &gt;80, este semnal de vânzare / luare profit pe termen scurt.
CONCLUZIE: Configurația tehnică indică PRESIUNE DE VÂNZARE.
Prudență cu pozițiile long existente. Dacă ești short, respectă stop loss-ul pentru a nu fi prins în rally-uri de recuperare (bear rallies).</t>
        </is>
      </c>
    </row>
    <row r="652" ht="18" customHeight="1" s="113">
      <c r="A652" s="184" t="inlineStr">
        <is>
          <t xml:space="preserve">  OPORTUNITATE DE TRADING</t>
        </is>
      </c>
    </row>
    <row r="653" ht="211" customHeight="1" s="113">
      <c r="A653" s="185" t="inlineStr">
        <is>
          <t>OPORTUNITATE SHORT / VÂNZARE — 3 confluențe tehnice aliniate.
Probabilitate estimată: 65%
PARAMETRI SHORT:
  Entry short                :  0.0009
  Stop Loss (SL)             :  0.0009     ← risc 0.0% din pozitie
  Take Profit (TP)           :  0.0009     ← target scadere 0.0%
  Risk/Reward Ratio          :  0.00x   SLAB — reconsideră
  ATR (volatilitate zilnica) :  0.0000
IMPORTANT — SHORT-UL este o strategie avansată:
  • Short-ul implică a vinde ceva ce nu deții (împrumutat)
  • Pierderea teoretică este NELIMITATĂ (prețul poate urca infinit)
  • Necesită cont de marjă și experiență prealabilă
  • Alternativa mai sigură: cumpără un ETF inversat sau opțiuni PUT</t>
        </is>
      </c>
    </row>
    <row r="654" ht="18" customHeight="1" s="113">
      <c r="A654" s="184" t="inlineStr">
        <is>
          <t xml:space="preserve">  PATTERN GRAFIC DETECTAT</t>
        </is>
      </c>
    </row>
    <row r="655" ht="367" customHeight="1" s="113">
      <c r="A655" s="185" t="inlineStr">
        <is>
          <t>PATTERN ACTIV: DEATH CROSS
MA50 (0.00) &lt; MA200 (0.00) cu 15.43%.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
PATTERN ACTIV: BOLLINGER BAND SQUEEZE
Lățime benzi: 0.0000 (sub 4% din preț) — compresie extremă.
Semnificație:
Perioadele de volatilitate scăzută sunt urmate INVARIABIL de explozii de volatilitate. Piața 'se încolăcește' înainte de o mișcare mare.
STRATEGIE PRACTICĂ:
Plasează un ordin BUY STOP cu 0.0009 (deasupra benzii superioare 0.0009) și un SELL STOP cu 0.0009 (sub banda inferioară 0.0009). Cel care se activează primul = direcția breakout-ului. Anulează imediat celălalt ordin.
PATTERN: TEST MA50
Prețul (0.0009) se află la +0.00% față de MA50 (0.00).
MA50 este CEL MAI URMĂRIT nivel dinamic de suport/rezistență. Un test al MA50 poate fi:
  BOUNCE (revenire): prețul respinge MA50 și continuă trendul → confirmă trendul
  BREAKDOWN: prețul sparge MA50 pe volum → semnal bearish
  FAKE: prețul taie MA50 dar revine rapid (whipsaw) → semn de piață slabă
Fii FOARTE ATENT la candle-ul de închidere față de MA50 azi!</t>
        </is>
      </c>
    </row>
    <row r="656" ht="18" customHeight="1" s="113">
      <c r="A656" s="184" t="inlineStr">
        <is>
          <t xml:space="preserve">  LECȚIA ZILEI</t>
        </is>
      </c>
    </row>
    <row r="657" ht="289" customHeight="1" s="113">
      <c r="A657" s="185" t="inlineStr">
        <is>
          <t xml:space="preserve">
─────────────────────────────────────────────LECȚIE — NU SHORT-UI ÎNTR-UN BULL MARKET:
RSI peste 70 nu înseamnă automat 'vinde'. NVIDIA în 2023-2024 a avut RSI peste 70 timp de 8 luni consecutive și a crescut cu 400% în acea perioadă.
Activele pot rămâne 'supraevaluate' luni întregi în bull market-uri puternice. Regula: short-ul pe RSI ridicat funcționează în piețe laterale sau bearish. În uptrend puternic (Golden Cross + volum crescut), short-ul pe RSI ridicat = rețetă pentru pierderi mari.
Alternativa corectă: dacă ești long, folosești trailing stop pentru a lăsa profitul să curgă și a te proteja simultan.
LECȚIE — DEATH CROSS: GREȘEALA CLASICĂ:
Death Cross apare adesea la MIJLOCUL unei corecții, nu la început. Dacă vinzi în panică la Death Cross, vinzi la jumătatea scăderii.
Strategia corectă:
  1. Reducerea expunerii la PRIMELE semnale (MA50 se aplatizează,      MACD bearish cross, volum crescut pe zile negative)
  2. La Death Cross complet format: evaluezi dacă teza investițională      mai este validă pe termen lung
  3. Dacă fundamentele sunt bune: Death Cross = oportunitate de      acumulare în etape (Dollar Cost Averaging)
  4. Dacă fundamentele s-au deteriorat: Death Cross = confirmare      că ai dreptate să ieși
Nu există un răspuns universal — contextul fundamental contează enorm.</t>
        </is>
      </c>
    </row>
    <row r="658" ht="6" customHeight="1" s="113">
      <c r="A658" s="186" t="n"/>
      <c r="B658" s="186" t="n"/>
      <c r="C658" s="186" t="n"/>
    </row>
    <row r="660" ht="24" customHeight="1" s="113">
      <c r="A660" s="183" t="inlineStr">
        <is>
          <t xml:space="preserve">  Optimism   |   Preț: 0.1145   |   Zi: -0.03%   |   RSI: 46.0   |   Confluențe: 1/5   |   SEMNAL: WAIT  </t>
        </is>
      </c>
    </row>
    <row r="661" ht="18" customHeight="1" s="113">
      <c r="A661" s="184" t="inlineStr">
        <is>
          <t xml:space="preserve">  DE CE S-A MIȘCAT ASTĂZI</t>
        </is>
      </c>
    </row>
    <row r="662" ht="328" customHeight="1" s="113">
      <c r="A662" s="185" t="inlineStr">
        <is>
          <t>Optimism a scăzut ușor cu 0.03% astăzi (preț curent: 0.1145).
Pe săptămână: -5.79% | Pe lună: -10.94%.
Volum în linie cu media (1.2x) — nicio anomalie de participare.
RSI = 46.0 — Zonă NEUTRĂ.
Echilibru între cumpărători și vânzători. Piața caută direcție. Evita pozițiile mari până la o confirmare clară de trend.
MACD pozitiv și crescător (histogram: +0.0016).
Momentumul bullish se menține, fără un crossover proaspăt. Trendul continuă dar fără accelerare nouă.
DEATH CROSS ACTIV: MA50 (0.15) &lt; MA200 (0.36).
Semnal bearish major pe termen mediu-lung. Mulți investitori instituționali reduc expunerea automat la Death Cross. Creșterile temporare pot fi oportunități de vânzare (short) sau ieșire din poziții long.
Prețul în interiorul Bollinger (0.1096 — 0.1355). Nicio extremă pentru moment, volatilitate normală.
Stochastic %K = 6.6 — OVERSOLD (sub 20).
Presiune de vânzare excesivă pe termen scurt. Când %K depășește %D din jos în sus sub nivelul 20, este un semnal clasic de cumpărare pe termen scurt.
Momentum 10 zile: -7.47% — PUTERNIC NEGATIV.
Activul a pierdut teren consistent în ultimele 2 săptămâni. Trendul pe termen scurt este bearish solid.
CONCLUZIE: Semnalele sunt MIXTE — AȘTEPTARE recomandată.
Nu forța o tranzacție când piața nu are direcție clară. Cel mai bun trade uneori este să nu tranzacționezi.</t>
        </is>
      </c>
    </row>
    <row r="663" ht="18" customHeight="1" s="113">
      <c r="A663" s="184" t="inlineStr">
        <is>
          <t xml:space="preserve">  OPORTUNITATE DE TRADING</t>
        </is>
      </c>
    </row>
    <row r="664" ht="133" customHeight="1" s="113">
      <c r="A664" s="185" t="inlineStr">
        <is>
          <t>NU EXISTĂ OPORTUNITATE CLARĂ în acest moment.
Confluențe tehnice: 1/5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665" ht="18" customHeight="1" s="113">
      <c r="A665" s="184" t="inlineStr">
        <is>
          <t xml:space="preserve">  PATTERN GRAFIC DETECTAT</t>
        </is>
      </c>
    </row>
    <row r="666" ht="120" customHeight="1" s="113">
      <c r="A666" s="185" t="inlineStr">
        <is>
          <t>PATTERN ACTIV: DEATH CROSS
MA50 (0.15) &lt; MA200 (0.36) cu 59.71%.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t>
        </is>
      </c>
    </row>
    <row r="667" ht="18" customHeight="1" s="113">
      <c r="A667" s="184" t="inlineStr">
        <is>
          <t xml:space="preserve">  LECȚIA ZILEI</t>
        </is>
      </c>
    </row>
    <row r="668" ht="289" customHeight="1" s="113">
      <c r="A668" s="185" t="inlineStr">
        <is>
          <t xml:space="preserve">
─────────────────────────────────────────────LECȚIE — PUTEREA 'NU TRANZACȚIONEZ' :
Una dintre cele mai greu de aplicat lecții în trading este să nu faci nimic. Mulți traderi simt nevoia permanentă de a fi 'în piață'. Realitatea: marii profesioniști stau în cash sau neutral 60-70% din timp și atacă DOAR când setup-ul este perfect.
Jack Schwager, în cartea 'Market Wizards', a intervievat cei mai buni traderi din lume. Toți aveau în comun un lucru: SELECTIVITATE EXTREMĂ. Nu numărul de tranzacții te îmbogățește, ci CALITATEA lor.
Aplicare practică: stabilește-ți un checklist cu 5 condiții. Intri DOAR dacă toate 5 sunt bifate. Astăzi acest activ nu le bifează.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t>
        </is>
      </c>
    </row>
    <row r="669" ht="6" customHeight="1" s="113">
      <c r="A669" s="186" t="n"/>
      <c r="B669" s="186" t="n"/>
      <c r="C669" s="186" t="n"/>
    </row>
    <row r="671" ht="24" customHeight="1" s="113">
      <c r="A671" s="188" t="inlineStr">
        <is>
          <t xml:space="preserve">  Near Protocol   |   Preț: 1.3218   |   Zi: +3.76%   |   RSI: 57.3   |   Confluențe: 3/5   |   SEMNAL: SELL  </t>
        </is>
      </c>
    </row>
    <row r="672" ht="18" customHeight="1" s="113">
      <c r="A672" s="184" t="inlineStr">
        <is>
          <t xml:space="preserve">  DE CE S-A MIȘCAT ASTĂZI</t>
        </is>
      </c>
    </row>
    <row r="673" ht="250" customHeight="1" s="113">
      <c r="A673" s="185" t="inlineStr">
        <is>
          <t>Near Protocol a crescut semnificativ cu 3.76% astăzi (preț curent: 1.3218).
Pe săptămână: -1.08% | Pe lună: +0.77%.
Volum în linie cu media (1.0x) — nicio anomalie de participare.
RSI = 57.3 — Momentum POZITIV.
Cumpărătorii au controlul, dar activul nu este încă supraevaluat. Zona 55-70 este adesea CEA MAI PROFITABILĂ pentru trend-following. Trendul bullish se menține solid.
MACD negativ (histogram: -0.0110).
Presiunea de vânzare domină pe termen scurt. Fii precaut cu pozițiile long în acest context.
DEATH CROSS ACTIV: MA50 (1.17) &lt; MA200 (1.87).
Semnal bearish major pe termen mediu-lung. Mulți investitori instituționali reduc expunerea automat la Death Cross. Creșterile temporare pot fi oportunități de vânzare (short) sau ieșire din poziții long.
Prețul în interiorul Bollinger (1.1685 — 1.4603). Nicio extremă pentru moment, volatilitate normală.
CONCLUZIE: Configurația tehnică indică PRESIUNE DE VÂNZARE.
Prudență cu pozițiile long existente. Dacă ești short, respectă stop loss-ul pentru a nu fi prins în rally-uri de recuperare (bear rallies).</t>
        </is>
      </c>
    </row>
    <row r="674" ht="18" customHeight="1" s="113">
      <c r="A674" s="184" t="inlineStr">
        <is>
          <t xml:space="preserve">  OPORTUNITATE DE TRADING</t>
        </is>
      </c>
    </row>
    <row r="675" ht="211" customHeight="1" s="113">
      <c r="A675" s="185" t="inlineStr">
        <is>
          <t>OPORTUNITATE SHORT / VÂNZARE — 3 confluențe tehnice aliniate.
Probabilitate estimată: 65%
PARAMETRI SHORT:
  Entry short                :  1.3218
  Stop Loss (SL)             :  1.4325     ← risc 8.4% din pozitie
  Take Profit (TP)           :  1.1004     ← target scadere 16.7%
  Risk/Reward Ratio          :  2.00x   BUN ★★
  ATR (volatilitate zilnica) :  0.0738
IMPORTANT — SHORT-UL este o strategie avansată:
  • Short-ul implică a vinde ceva ce nu deții (împrumutat)
  • Pierderea teoretică este NELIMITATĂ (prețul poate urca infinit)
  • Necesită cont de marjă și experiență prealabilă
  • Alternativa mai sigură: cumpără un ETF inversat sau opțiuni PUT</t>
        </is>
      </c>
    </row>
    <row r="676" ht="18" customHeight="1" s="113">
      <c r="A676" s="184" t="inlineStr">
        <is>
          <t xml:space="preserve">  PATTERN GRAFIC DETECTAT</t>
        </is>
      </c>
    </row>
    <row r="677" ht="120" customHeight="1" s="113">
      <c r="A677" s="185" t="inlineStr">
        <is>
          <t>PATTERN ACTIV: DEATH CROSS
MA50 (1.17) &lt; MA200 (1.87) cu 37.31%.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t>
        </is>
      </c>
    </row>
    <row r="678" ht="18" customHeight="1" s="113">
      <c r="A678" s="184" t="inlineStr">
        <is>
          <t xml:space="preserve">  LECȚIA ZILEI</t>
        </is>
      </c>
    </row>
    <row r="679" ht="341" customHeight="1" s="113">
      <c r="A679" s="185" t="inlineStr">
        <is>
          <t xml:space="preserve">
─────────────────────────────────────────────LECȚIE — DEATH CROSS: GREȘEALA CLASICĂ:
Death Cross apare adesea la MIJLOCUL unei corecții, nu la început. Dacă vinzi în panică la Death Cross, vinzi la jumătatea scăderii.
Strategia corectă:
  1. Reducerea expunerii la PRIMELE semnale (MA50 se aplatizează,      MACD bearish cross, volum crescut pe zile negative)
  2. La Death Cross complet format: evaluezi dacă teza investițională      mai este validă pe termen lung
  3. Dacă fundamentele sunt bune: Death Cross = oportunitate de      acumulare în etape (Dollar Cost Averaging)
  4. Dacă fundamentele s-au deteriorat: Death Cross = confirmare      că ai dreptate să ieși
Nu există un răspuns universal — contextul fundamental contează enorm.
LECȚIE PSIHOLOGIE — EMOȚIILE ȘI PIERDEREA BANILOR:
Studiile arată că durerea unei pierderi de 100 lei este psihologic de 2x mai intensă decât bucuria unui câștig de 100 lei (Loss Aversion, Daniel Kahneman, Nobel 2002).
Cum afectează trading-ul:
  1. Ții pozițiile perdante prea mult ('o să revină')
  2. Vinzi pozițiile câștigătoare prea repede (frică să nu pierzi profitul)
  3. Dublezi pe pierdere pentru a 'recupera' (averaging down neselectiv)
  4. Faci revenge trading după o pierdere (emoție, nu analiză)
Soluția: PLAN SCRIS înainte de intrare. Entry, SL, TP, sizing — scrise pe hârtie sau în jurnal ÎNAINTE de a deschide poziția. Odată în poziție, lăsă planul să lucreze, nu emoțiile.</t>
        </is>
      </c>
    </row>
    <row r="680" ht="6" customHeight="1" s="113">
      <c r="A680" s="186" t="n"/>
      <c r="B680" s="186" t="n"/>
      <c r="C680" s="186" t="n"/>
    </row>
    <row r="683" ht="28" customHeight="1" s="113">
      <c r="A683" s="182" t="inlineStr">
        <is>
          <t xml:space="preserve">  ══════  VALUTE FOREX  ══════</t>
        </is>
      </c>
    </row>
    <row r="685" ht="24" customHeight="1" s="113">
      <c r="A685" s="187" t="inlineStr">
        <is>
          <t xml:space="preserve">  EUR/USD   |   Preț: 1.1617   |   Zi: +0.34%   |   RSI: 45.2   |   Confluențe: 4/5   |   SEMNAL: BUY  </t>
        </is>
      </c>
    </row>
    <row r="686" ht="18" customHeight="1" s="113">
      <c r="A686" s="184" t="inlineStr">
        <is>
          <t xml:space="preserve">  DE CE S-A MIȘCAT ASTĂZI</t>
        </is>
      </c>
    </row>
    <row r="687" ht="289" customHeight="1" s="113">
      <c r="A687" s="185" t="inlineStr">
        <is>
          <t>EUR/USD a crescut ușor cu 0.34% astăzi (preț curent: 1.1617).
Pe săptămână: +1.02% | Pe lună: -1.50%.
Volum în linie cu media (1.0x) — nicio anomalie de participare.
RSI = 45.2 — Zonă NEUTRĂ.
Echilibru între cumpărători și vânzători. Piața caută direcție. Evita pozițiile mari până la o confirmare clară de trend.
MACD: BULLISH CROSSOVER CONFIRMAT (histogram: +0.0002).
Linia MACD a trecut DEASUPRA liniei de semnal — unul dintre cele mai puternice semnale de schimbare a direcției spre bullish. Momentumul câștigă forță în favoarea cumpărătorilor. Confirmă cu volumul crescut pentru un semnal de calitate.
GOLDEN CROSS ACTIV: MA50 (1.17) &gt; MA200 (1.17).
Cea mai importantă configurație bullish pe termen mediu-lung. Fondurile de pensii, ETF-urile și robo-advisors cumpără automat la Golden Cross. Trendul major este ascendent — scăderile sunt oportunități de cumpărare, nu semnale de panică.
Prețul în interiorul Bollinger (1.1390 — 1.1855). Nicio extremă pentru moment, volatilitate normală.
Stochastic %K = 81.2 — OVERBOUGHT (peste 80).
Activul s-a apreciat rapid pe termen scurt. Când %K coboară sub %D din zona &gt;80, este semnal de vânzare / luare profit pe termen scurt.
CONCLUZIE: Configurația tehnică este FAVORABILĂ CUMPĂRĂRII.
Momentul tehnic este bun. Riscul principal: o deteriorare bruscă a sentimentului global (VIX spike, știri macro negative) poate invalida setup-ul. Respectă strict stop loss-ul!</t>
        </is>
      </c>
    </row>
    <row r="688" ht="18" customHeight="1" s="113">
      <c r="A688" s="184" t="inlineStr">
        <is>
          <t xml:space="preserve">  OPORTUNITATE DE TRADING</t>
        </is>
      </c>
    </row>
    <row r="689" ht="172" customHeight="1" s="113">
      <c r="A689" s="185" t="inlineStr">
        <is>
          <t>OPORTUNITATE DE CUMPĂRARE — 4 confluențe tehnice aliniate.
Probabilitate estimată de succes: 75%
PARAMETRI TRANZACȚIE:
  Entry (intrare recomandata) :  1.1617
  Stop Loss (SL)             :  1.1461     ← risc 1.3% din pozitie
  Take Profit (TP)           :  1.1930     ← recompensa 2.7%
  Risk/Reward Ratio          :  2.00x   BUN ★★
  ATR (volatilitate zilnica) :  0.0104
RR de 2.0x este solid și profesionist.
Cu un win rate de 40% și un RR constant de 2x, sistemul este matematic profitabil pe termen lung. Nu ceda tentației de a muta TP-ul prea devreme.</t>
        </is>
      </c>
    </row>
    <row r="690" ht="18" customHeight="1" s="113">
      <c r="A690" s="184" t="inlineStr">
        <is>
          <t xml:space="preserve">  PATTERN GRAFIC DETECTAT</t>
        </is>
      </c>
    </row>
    <row r="691" ht="276" customHeight="1" s="113">
      <c r="A691" s="185" t="inlineStr">
        <is>
          <t>PATTERN ACTIV: GOLDEN CROSS
MA50 (1.17) &gt; MA200 (1.17) cu 0.45%.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
PATTERN ACTIV: MACD BULLISH CROSSOVER
Histogramă: +0.000214 (trecere în teritoriu pozitiv).
CE ÎNSEAMNĂ PE GRAFIC:
Barele histogramei au trecut de la ROȘU (negativ) la VERDE (pozitiv). Linia MACD (rapidă) a depășit linia Signal (lentă).
CEL MAI PUTERNIC SEMNAL:
Crossover bullish care apare EXACT LA LINIA ZERO este considerat cel mai fiabil. Un crossover la -0.5 sau -1.0 (departe de zero) este mai slab.
CAPCANA:
MACD crossover pe VOLUM MIC poate fi fals. Confirmă întotdeauna cu volumul crescut! Rvol curent: 1.0x ⚠ Slab.</t>
        </is>
      </c>
    </row>
    <row r="692" ht="18" customHeight="1" s="113">
      <c r="A692" s="184" t="inlineStr">
        <is>
          <t xml:space="preserve">  LECȚIA ZILEI</t>
        </is>
      </c>
    </row>
    <row r="693" ht="393" customHeight="1" s="113">
      <c r="A693" s="185" t="inlineStr">
        <is>
          <t xml:space="preserve">
─────────────────────────────────────────────LECȚIE — GOLDEN CROSS: ÎNTÂRZIERE VS. ANTICIPARE:
Golden Cross este real și puternic, dar are un defect major: este un indicator LAGGING (cu întârziere). Apare DUPĂ ce prețul a urcat deja 10-30%.
Strategia amatorilor: cumpără exact la Golden Cross (prea târziu).
Strategia profesioniștilor: anticipează Golden Cross-ul.
Cum anticipezi:
  1. MA200 încetinește scăderea (se aplatizează)
  2. MA50 oprește scăderea și inversează
  3. RSI revine din sub 30 → zona 40-50
  4. MACD formează un bullish crossover la zero line
  5. Volumul crește pe zilele UP
Dacă bifezi 4 din 5 și Golden Cross nu s-a format încă — ACELA este momentul optim de cumpărare.
LECȚIE PSIHOLOGIE — EMOȚIILE ȘI PIERDEREA BANILOR:
Studiile arată că durerea unei pierderi de 100 lei este psihologic de 2x mai intensă decât bucuria unui câștig de 100 lei (Loss Aversion, Daniel Kahneman, Nobel 2002).
Cum afectează trading-ul:
  1. Ții pozițiile perdante prea mult ('o să revină')
  2. Vinzi pozițiile câștigătoare prea repede (frică să nu pierzi profitul)
  3. Dublezi pe pierdere pentru a 'recupera' (averaging down neselectiv)
  4. Faci revenge trading după o pierdere (emoție, nu analiză)
Soluția: PLAN SCRIS înainte de intrare. Entry, SL, TP, sizing — scrise pe hârtie sau în jurnal ÎNAINTE de a deschide poziția. Odată în poziție, lăsă planul să lucreze, nu emoțiile.</t>
        </is>
      </c>
    </row>
    <row r="694" ht="6" customHeight="1" s="113">
      <c r="A694" s="186" t="n"/>
      <c r="B694" s="186" t="n"/>
      <c r="C694" s="186" t="n"/>
    </row>
    <row r="696" ht="24" customHeight="1" s="113">
      <c r="A696" s="187" t="inlineStr">
        <is>
          <t xml:space="preserve">  GBP/USD   |   Preț: 1.3433   |   Zi: +0.05%   |   RSI: 51.4   |   Confluențe: 3/5   |   SEMNAL: BUY  </t>
        </is>
      </c>
    </row>
    <row r="697" ht="18" customHeight="1" s="113">
      <c r="A697" s="184" t="inlineStr">
        <is>
          <t xml:space="preserve">  DE CE S-A MIȘCAT ASTĂZI</t>
        </is>
      </c>
    </row>
    <row r="698" ht="302" customHeight="1" s="113">
      <c r="A698" s="185" t="inlineStr">
        <is>
          <t>GBP/USD a crescut ușor cu 0.05% astăzi (preț curent: 1.3433).
Pe săptămână: +0.89% | Pe lună: -0.48%.
Volum în linie cu media (1.0x) — nicio anomalie de participare.
RSI = 51.4 — Zonă NEUTRĂ.
Echilibru între cumpărători și vânzători. Piața caută direcție. Evita pozițiile mari până la o confirmare clară de trend.
MACD pozitiv și crescător (histogram: +0.0009).
Momentumul bullish se menține, fără un crossover proaspăt. Trendul continuă dar fără accelerare nouă.
GOLDEN CROSS ACTIV: MA50 (1.35) &gt; MA200 (1.34).
Cea mai importantă configurație bullish pe termen mediu-lung. Fondurile de pensii, ETF-urile și robo-advisors cumpără automat la Golden Cross. Trendul major este ascendent — scăderile sunt oportunități de cumpărare, nu semnale de panică.
PREȚ LA BANDA SUPERIOARĂ Bollinger (1.3553).
Statistic, prețul revine spre medie în ~80% din cazuri după atingerea benzii superioare. Semnal: posibilă supraextindere pe termen scurt — risc crescut de corecție iminentă sau consolidare orizontală.
Stochastic %K = 80.4 — OVERBOUGHT (peste 80).
Activul s-a apreciat rapid pe termen scurt. Când %K coboară sub %D din zona &gt;80, este semnal de vânzare / luare profit pe termen scurt.
CONCLUZIE: Configurația tehnică este FAVORABILĂ CUMPĂRĂRII.
Momentul tehnic este bun. Riscul principal: o deteriorare bruscă a sentimentului global (VIX spike, știri macro negative) poate invalida setup-ul. Respectă strict stop loss-ul!</t>
        </is>
      </c>
    </row>
    <row r="699" ht="18" customHeight="1" s="113">
      <c r="A699" s="184" t="inlineStr">
        <is>
          <t xml:space="preserve">  OPORTUNITATE DE TRADING</t>
        </is>
      </c>
    </row>
    <row r="700" ht="172" customHeight="1" s="113">
      <c r="A700" s="185" t="inlineStr">
        <is>
          <t>OPORTUNITATE DE CUMPĂRARE — 3 confluențe tehnice aliniate.
Probabilitate estimată de succes: 65%
PARAMETRI TRANZACȚIE:
  Entry (intrare recomandata) :  1.3433
  Stop Loss (SL)             :  1.3251     ← risc 1.4% din pozitie
  Take Profit (TP)           :  1.3797     ← recompensa 2.7%
  Risk/Reward Ratio          :  2.00x   BUN ★★
  ATR (volatilitate zilnica) :  0.0121
RR de 2.0x este solid și profesionist.
Cu un win rate de 40% și un RR constant de 2x, sistemul este matematic profitabil pe termen lung. Nu ceda tentației de a muta TP-ul prea devreme.</t>
        </is>
      </c>
    </row>
    <row r="701" ht="18" customHeight="1" s="113">
      <c r="A701" s="184" t="inlineStr">
        <is>
          <t xml:space="preserve">  PATTERN GRAFIC DETECTAT</t>
        </is>
      </c>
    </row>
    <row r="702" ht="367" customHeight="1" s="113">
      <c r="A702" s="185" t="inlineStr">
        <is>
          <t>PATTERN ACTIV: GOLDEN CROSS
MA50 (1.35) &gt; MA200 (1.34) cu 0.52%.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
PATTERN ACTIV: BOLLINGER BAND SQUEEZE
Lățime benzi: 0.0320 (sub 4% din preț) — compresie extremă.
Semnificație:
Perioadele de volatilitate scăzută sunt urmate INVARIABIL de explozii de volatilitate. Piața 'se încolăcește' înainte de o mișcare mare.
STRATEGIE PRACTICĂ:
Plasează un ordin BUY STOP cu 1.3621 (deasupra benzii superioare 1.3553) și un SELL STOP cu 1.3167 (sub banda inferioară 1.3233). Cel care se activează primul = direcția breakout-ului. Anulează imediat celălalt ordin.
PATTERN: TEST MA50
Prețul (1.3433) se află la -0.54% față de MA50 (1.35).
MA50 este CEL MAI URMĂRIT nivel dinamic de suport/rezistență. Un test al MA50 poate fi:
  BOUNCE (revenire): prețul respinge MA50 și continuă trendul → confirmă trendul
  BREAKDOWN: prețul sparge MA50 pe volum → semnal bearish
  FAKE: prețul taie MA50 dar revine rapid (whipsaw) → semn de piață slabă
Fii FOARTE ATENT la candle-ul de închidere față de MA50 azi!</t>
        </is>
      </c>
    </row>
    <row r="703" ht="18" customHeight="1" s="113">
      <c r="A703" s="184" t="inlineStr">
        <is>
          <t xml:space="preserve">  LECȚIA ZILEI</t>
        </is>
      </c>
    </row>
    <row r="704" ht="393" customHeight="1" s="113">
      <c r="A704" s="185" t="inlineStr">
        <is>
          <t xml:space="preserve">
─────────────────────────────────────────────LECȚIE — GOLDEN CROSS: ÎNTÂRZIERE VS. ANTICIPARE:
Golden Cross este real și puternic, dar are un defect major: este un indicator LAGGING (cu întârziere). Apare DUPĂ ce prețul a urcat deja 10-30%.
Strategia amatorilor: cumpără exact la Golden Cross (prea târziu).
Strategia profesioniștilor: anticipează Golden Cross-ul.
Cum anticipezi:
  1. MA200 încetinește scăderea (se aplatizează)
  2. MA50 oprește scăderea și inversează
  3. RSI revine din sub 30 → zona 40-50
  4. MACD formează un bullish crossover la zero line
  5. Volumul crește pe zilele UP
Dacă bifezi 4 din 5 și Golden Cross nu s-a format încă — ACELA este momentul optim de cumpărare.
LECȚIE PSIHOLOGIE — EMOȚIILE ȘI PIERDEREA BANILOR:
Studiile arată că durerea unei pierderi de 100 lei este psihologic de 2x mai intensă decât bucuria unui câștig de 100 lei (Loss Aversion, Daniel Kahneman, Nobel 2002).
Cum afectează trading-ul:
  1. Ții pozițiile perdante prea mult ('o să revină')
  2. Vinzi pozițiile câștigătoare prea repede (frică să nu pierzi profitul)
  3. Dublezi pe pierdere pentru a 'recupera' (averaging down neselectiv)
  4. Faci revenge trading după o pierdere (emoție, nu analiză)
Soluția: PLAN SCRIS înainte de intrare. Entry, SL, TP, sizing — scrise pe hârtie sau în jurnal ÎNAINTE de a deschide poziția. Odată în poziție, lăsă planul să lucreze, nu emoțiile.</t>
        </is>
      </c>
    </row>
    <row r="705" ht="6" customHeight="1" s="113">
      <c r="A705" s="186" t="n"/>
      <c r="B705" s="186" t="n"/>
      <c r="C705" s="186" t="n"/>
    </row>
    <row r="707" ht="24" customHeight="1" s="113">
      <c r="A707" s="187" t="inlineStr">
        <is>
          <t xml:space="preserve">  USD/JPY   |   Preț: 158.3130   |   Zi: +0.25%   |   RSI: 55.9   |   Confluențe: 3/5   |   SEMNAL: BUY  </t>
        </is>
      </c>
    </row>
    <row r="708" ht="18" customHeight="1" s="113">
      <c r="A708" s="184" t="inlineStr">
        <is>
          <t xml:space="preserve">  DE CE S-A MIȘCAT ASTĂZI</t>
        </is>
      </c>
    </row>
    <row r="709" ht="250" customHeight="1" s="113">
      <c r="A709" s="185" t="inlineStr">
        <is>
          <t>USD/JPY a crescut ușor cu 0.25% astăzi (preț curent: 158.3130).
Pe săptămână: -0.50% | Pe lună: +2.38%.
Volum în linie cu media (1.0x) — nicio anomalie de participare.
RSI = 55.9 — Momentum POZITIV.
Cumpărătorii au controlul, dar activul nu este încă supraevaluat. Zona 55-70 este adesea CEA MAI PROFITABILĂ pentru trend-following. Trendul bullish se menține solid.
MACD pozitiv și crescător (histogram: +0.0081).
Momentumul bullish se menține, fără un crossover proaspăt. Trendul continuă dar fără accelerare nouă.
GOLDEN CROSS ACTIV: MA50 (156.52) &gt; MA200 (152.02).
Cea mai importantă configurație bullish pe termen mediu-lung. Fondurile de pensii, ETF-urile și robo-advisors cumpără automat la Golden Cross. Trendul major este ascendent — scăderile sunt oportunități de cumpărare, nu semnale de panică.
Prețul în interiorul Bollinger (154.9694 — 160.5324). Nicio extremă pentru moment, volatilitate normală.
CONCLUZIE: Configurația tehnică este FAVORABILĂ CUMPĂRĂRII.
Momentul tehnic este bun. Riscul principal: o deteriorare bruscă a sentimentului global (VIX spike, știri macro negative) poate invalida setup-ul. Respectă strict stop loss-ul!</t>
        </is>
      </c>
    </row>
    <row r="710" ht="18" customHeight="1" s="113">
      <c r="A710" s="184" t="inlineStr">
        <is>
          <t xml:space="preserve">  OPORTUNITATE DE TRADING</t>
        </is>
      </c>
    </row>
    <row r="711" ht="172" customHeight="1" s="113">
      <c r="A711" s="185" t="inlineStr">
        <is>
          <t>OPORTUNITATE DE CUMPĂRARE — 3 confluențe tehnice aliniate.
Probabilitate estimată de succes: 65%
PARAMETRI TRANZACȚIE:
  Entry (intrare recomandata) :  158.3130
  Stop Loss (SL)             :  156.5139     ← risc 1.1% din pozitie
  Take Profit (TP)           :  161.9113     ← recompensa 2.3%
  Risk/Reward Ratio          :  2.00x   BUN ★★
  ATR (volatilitate zilnica) :  1.1994
RR de 2.0x este solid și profesionist.
Cu un win rate de 40% și un RR constant de 2x, sistemul este matematic profitabil pe termen lung. Nu ceda tentației de a muta TP-ul prea devreme.</t>
        </is>
      </c>
    </row>
    <row r="712" ht="18" customHeight="1" s="113">
      <c r="A712" s="184" t="inlineStr">
        <is>
          <t xml:space="preserve">  PATTERN GRAFIC DETECTAT</t>
        </is>
      </c>
    </row>
    <row r="713" ht="237" customHeight="1" s="113">
      <c r="A713" s="185" t="inlineStr">
        <is>
          <t>PATTERN ACTIV: GOLDEN CROSS
MA50 (156.52) &gt; MA200 (152.02) cu 2.96%.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
PATTERN ACTIV: BOLLINGER BAND SQUEEZE
Lățime benzi: 5.5629 (sub 4% din preț) — compresie extremă.
Semnificație:
Perioadele de volatilitate scăzută sunt urmate INVARIABIL de explozii de volatilitate. Piața 'se încolăcește' înainte de o mișcare mare.
STRATEGIE PRACTICĂ:
Plasează un ordin BUY STOP cu 161.3350 (deasupra benzii superioare 160.5324) și un SELL STOP cu 154.1946 (sub banda inferioară 154.9694). Cel care se activează primul = direcția breakout-ului. Anulează imediat celălalt ordin.</t>
        </is>
      </c>
    </row>
    <row r="714" ht="18" customHeight="1" s="113">
      <c r="A714" s="184" t="inlineStr">
        <is>
          <t xml:space="preserve">  LECȚIA ZILEI</t>
        </is>
      </c>
    </row>
    <row r="715" ht="393" customHeight="1" s="113">
      <c r="A715" s="185" t="inlineStr">
        <is>
          <t xml:space="preserve">
─────────────────────────────────────────────LECȚIE — GOLDEN CROSS: ÎNTÂRZIERE VS. ANTICIPARE:
Golden Cross este real și puternic, dar are un defect major: este un indicator LAGGING (cu întârziere). Apare DUPĂ ce prețul a urcat deja 10-30%.
Strategia amatorilor: cumpără exact la Golden Cross (prea târziu).
Strategia profesioniștilor: anticipează Golden Cross-ul.
Cum anticipezi:
  1. MA200 încetinește scăderea (se aplatizează)
  2. MA50 oprește scăderea și inversează
  3. RSI revine din sub 30 → zona 40-50
  4. MACD formează un bullish crossover la zero line
  5. Volumul crește pe zilele UP
Dacă bifezi 4 din 5 și Golden Cross nu s-a format încă — ACELA este momentul optim de cumpărare.
LECȚIE PSIHOLOGIE — EMOȚIILE ȘI PIERDEREA BANILOR:
Studiile arată că durerea unei pierderi de 100 lei este psihologic de 2x mai intensă decât bucuria unui câștig de 100 lei (Loss Aversion, Daniel Kahneman, Nobel 2002).
Cum afectează trading-ul:
  1. Ții pozițiile perdante prea mult ('o să revină')
  2. Vinzi pozițiile câștigătoare prea repede (frică să nu pierzi profitul)
  3. Dublezi pe pierdere pentru a 'recupera' (averaging down neselectiv)
  4. Faci revenge trading după o pierdere (emoție, nu analiză)
Soluția: PLAN SCRIS înainte de intrare. Entry, SL, TP, sizing — scrise pe hârtie sau în jurnal ÎNAINTE de a deschide poziția. Odată în poziție, lăsă planul să lucreze, nu emoțiile.</t>
        </is>
      </c>
    </row>
    <row r="716" ht="6" customHeight="1" s="113">
      <c r="A716" s="186" t="n"/>
      <c r="B716" s="186" t="n"/>
      <c r="C716" s="186" t="n"/>
    </row>
    <row r="718" ht="24" customHeight="1" s="113">
      <c r="A718" s="183" t="inlineStr">
        <is>
          <t xml:space="preserve">  USD/CHF   |   Preț: 0.7858   |   Zi: -0.37%   |   RSI: 58.1   |   Confluențe: 1/5   |   SEMNAL: WAIT  </t>
        </is>
      </c>
    </row>
    <row r="719" ht="18" customHeight="1" s="113">
      <c r="A719" s="184" t="inlineStr">
        <is>
          <t xml:space="preserve">  DE CE S-A MIȘCAT ASTĂZI</t>
        </is>
      </c>
    </row>
    <row r="720" ht="263" customHeight="1" s="113">
      <c r="A720" s="185" t="inlineStr">
        <is>
          <t>USD/CHF a scăzut ușor cu 0.37% astăzi (preț curent: 0.7858).
Pe săptămână: -0.29% | Pe lună: +1.49%.
Volum în linie cu media (1.0x) — nicio anomalie de participare.
RSI = 58.1 — Momentum POZITIV.
Cumpărătorii au controlul, dar activul nu este încă supraevaluat. Zona 55-70 este adesea CEA MAI PROFITABILĂ pentru trend-following. Trendul bullish se menține solid.
MACD pozitiv și crescător (histogram: +0.0011).
Momentumul bullish se menține, fără un crossover proaspăt. Trendul continuă dar fără accelerare nouă.
DEATH CROSS ACTIV: MA50 (0.78) &lt; MA200 (0.80).
Semnal bearish major pe termen mediu-lung. Mulți investitori instituționali reduc expunerea automat la Death Cross. Creșterile temporare pot fi oportunități de vânzare (short) sau ieșire din poziții long.
PREȚ LA BANDA SUPERIOARĂ Bollinger (0.7937).
Statistic, prețul revine spre medie în ~80% din cazuri după atingerea benzii superioare. Semnal: posibilă supraextindere pe termen scurt — risc crescut de corecție iminentă sau consolidare orizontală.
CONCLUZIE: Semnalele sunt MIXTE — AȘTEPTARE recomandată.
Nu forța o tranzacție când piața nu are direcție clară. Cel mai bun trade uneori este să nu tranzacționezi.</t>
        </is>
      </c>
    </row>
    <row r="721" ht="18" customHeight="1" s="113">
      <c r="A721" s="184" t="inlineStr">
        <is>
          <t xml:space="preserve">  OPORTUNITATE DE TRADING</t>
        </is>
      </c>
    </row>
    <row r="722" ht="133" customHeight="1" s="113">
      <c r="A722" s="185" t="inlineStr">
        <is>
          <t>NU EXISTĂ OPORTUNITATE CLARĂ în acest moment.
Confluențe tehnice: 1/5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723" ht="18" customHeight="1" s="113">
      <c r="A723" s="184" t="inlineStr">
        <is>
          <t xml:space="preserve">  PATTERN GRAFIC DETECTAT</t>
        </is>
      </c>
    </row>
    <row r="724" ht="367" customHeight="1" s="113">
      <c r="A724" s="185" t="inlineStr">
        <is>
          <t>PATTERN ACTIV: DEATH CROSS
MA50 (0.78) &lt; MA200 (0.80) cu 1.92%.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
PATTERN ACTIV: BOLLINGER BAND SQUEEZE
Lățime benzi: 0.0255 (sub 4% din preț) — compresie extremă.
Semnificație:
Perioadele de volatilitate scăzută sunt urmate INVARIABIL de explozii de volatilitate. Piața 'se încolăcește' înainte de o mișcare mare.
STRATEGIE PRACTICĂ:
Plasează un ordin BUY STOP cu 0.7976 (deasupra benzii superioare 0.7937) și un SELL STOP cu 0.7643 (sub banda inferioară 0.7681). Cel care se activează primul = direcția breakout-ului. Anulează imediat celălalt ordin.
PATTERN: TEST MA50
Prețul (0.7858) se află la +0.73% față de MA50 (0.78).
MA50 este CEL MAI URMĂRIT nivel dinamic de suport/rezistență. Un test al MA50 poate fi:
  BOUNCE (revenire): prețul respinge MA50 și continuă trendul → confirmă trendul
  BREAKDOWN: prețul sparge MA50 pe volum → semnal bearish
  FAKE: prețul taie MA50 dar revine rapid (whipsaw) → semn de piață slabă
Fii FOARTE ATENT la candle-ul de închidere față de MA50 azi!</t>
        </is>
      </c>
    </row>
    <row r="725" ht="18" customHeight="1" s="113">
      <c r="A725" s="184" t="inlineStr">
        <is>
          <t xml:space="preserve">  LECȚIA ZILEI</t>
        </is>
      </c>
    </row>
    <row r="726" ht="289" customHeight="1" s="113">
      <c r="A726" s="185" t="inlineStr">
        <is>
          <t xml:space="preserve">
─────────────────────────────────────────────LECȚIE — PUTEREA 'NU TRANZACȚIONEZ' :
Una dintre cele mai greu de aplicat lecții în trading este să nu faci nimic. Mulți traderi simt nevoia permanentă de a fi 'în piață'. Realitatea: marii profesioniști stau în cash sau neutral 60-70% din timp și atacă DOAR când setup-ul este perfect.
Jack Schwager, în cartea 'Market Wizards', a intervievat cei mai buni traderi din lume. Toți aveau în comun un lucru: SELECTIVITATE EXTREMĂ. Nu numărul de tranzacții te îmbogățește, ci CALITATEA lor.
Aplicare practică: stabilește-ți un checklist cu 5 condiții. Intri DOAR dacă toate 5 sunt bifate. Astăzi acest activ nu le bifează.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t>
        </is>
      </c>
    </row>
    <row r="727" ht="6" customHeight="1" s="113">
      <c r="A727" s="186" t="n"/>
      <c r="B727" s="186" t="n"/>
      <c r="C727" s="186" t="n"/>
    </row>
    <row r="729" ht="24" customHeight="1" s="113">
      <c r="A729" s="183" t="inlineStr">
        <is>
          <t xml:space="preserve">  AUD/USD   |   Preț: 0.7015   |   Zi: -0.93%   |   RSI: 44.3   |   Confluențe: 2/5   |   SEMNAL: WAIT  </t>
        </is>
      </c>
    </row>
    <row r="730" ht="18" customHeight="1" s="113">
      <c r="A730" s="184" t="inlineStr">
        <is>
          <t xml:space="preserve">  DE CE S-A MIȘCAT ASTĂZI</t>
        </is>
      </c>
    </row>
    <row r="731" ht="263" customHeight="1" s="113">
      <c r="A731" s="185" t="inlineStr">
        <is>
          <t>AUD/USD a scăzut ușor cu 0.93% astăzi (preț curent: 0.7015).
Pe săptămână: -0.75% | Pe lună: -0.64%.
Volum în linie cu media (1.0x) — nicio anomalie de participare.
RSI = 44.3 — Zonă NEUTRĂ.
Echilibru între cumpărători și vânzători. Piața caută direcție. Evita pozițiile mari până la o confirmare clară de trend.
MACD negativ (histogram: -0.0011).
Presiunea de vânzare domină pe termen scurt. Fii precaut cu pozițiile long în acest context.
GOLDEN CROSS ACTIV: MA50 (0.70) &gt; MA200 (0.67).
Cea mai importantă configurație bullish pe termen mediu-lung. Fondurile de pensii, ETF-urile și robo-advisors cumpără automat la Golden Cross. Trendul major este ascendent — scăderile sunt oportunități de cumpărare, nu semnale de panică.
PREȚ LA BANDA INFERIOARĂ Bollinger (0.6978).
Zonă de potențial suport tehnic. Statistic, 80% din oscilații rămân în interiorul benzilor. Posibilă revenire spre MA20 (mijlocul benzilor) în zilele imediat următoare.
CONCLUZIE: Semnalele sunt MIXTE — AȘTEPTARE recomandată.
Nu forța o tranzacție când piața nu are direcție clară. Cel mai bun trade uneori este să nu tranzacționezi.</t>
        </is>
      </c>
    </row>
    <row r="732" ht="18" customHeight="1" s="113">
      <c r="A732" s="184" t="inlineStr">
        <is>
          <t xml:space="preserve">  OPORTUNITATE DE TRADING</t>
        </is>
      </c>
    </row>
    <row r="733" ht="133" customHeight="1" s="113">
      <c r="A733" s="185" t="inlineStr">
        <is>
          <t>NU EXISTĂ OPORTUNITATE CLARĂ în acest moment.
Confluențe tehnice: 2/5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734" ht="18" customHeight="1" s="113">
      <c r="A734" s="184" t="inlineStr">
        <is>
          <t xml:space="preserve">  PATTERN GRAFIC DETECTAT</t>
        </is>
      </c>
    </row>
    <row r="735" ht="367" customHeight="1" s="113">
      <c r="A735" s="185" t="inlineStr">
        <is>
          <t>PATTERN ACTIV: GOLDEN CROSS
MA50 (0.70) &gt; MA200 (0.67) cu 4.84%.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
PATTERN ACTIV: BOLLINGER BAND SQUEEZE
Lățime benzi: 0.0175 (sub 4% din preț) — compresie extremă.
Semnificație:
Perioadele de volatilitate scăzută sunt urmate INVARIABIL de explozii de volatilitate. Piața 'se încolăcește' înainte de o mișcare mare.
STRATEGIE PRACTICĂ:
Plasează un ordin BUY STOP cu 0.7189 (deasupra benzii superioare 0.7153) și un SELL STOP cu 0.6943 (sub banda inferioară 0.6978). Cel care se activează primul = direcția breakout-ului. Anulează imediat celălalt ordin.
PATTERN: TEST MA50
Prețul (0.7015) se află la +0.39% față de MA50 (0.70).
MA50 este CEL MAI URMĂRIT nivel dinamic de suport/rezistență. Un test al MA50 poate fi:
  BOUNCE (revenire): prețul respinge MA50 și continuă trendul → confirmă trendul
  BREAKDOWN: prețul sparge MA50 pe volum → semnal bearish
  FAKE: prețul taie MA50 dar revine rapid (whipsaw) → semn de piață slabă
Fii FOARTE ATENT la candle-ul de închidere față de MA50 azi!</t>
        </is>
      </c>
    </row>
    <row r="736" ht="18" customHeight="1" s="113">
      <c r="A736" s="184" t="inlineStr">
        <is>
          <t xml:space="preserve">  LECȚIA ZILEI</t>
        </is>
      </c>
    </row>
    <row r="737" ht="393" customHeight="1" s="113">
      <c r="A737" s="185" t="inlineStr">
        <is>
          <t xml:space="preserve">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
LECȚIE — GOLDEN CROSS: ÎNTÂRZIERE VS. ANTICIPARE:
Golden Cross este real și puternic, dar are un defect major: este un indicator LAGGING (cu întârziere). Apare DUPĂ ce prețul a urcat deja 10-30%.
Strategia amatorilor: cumpără exact la Golden Cross (prea târziu).
Strategia profesioniștilor: anticipează Golden Cross-ul.
Cum anticipezi:
  1. MA200 încetinește scăderea (se aplatizează)
  2. MA50 oprește scăderea și inversează
  3. RSI revine din sub 30 → zona 40-50
  4. MACD formează un bullish crossover la zero line
  5. Volumul crește pe zilele UP
Dacă bifezi 4 din 5 și Golden Cross nu s-a format încă — ACELA este momentul optim de cumpărare.</t>
        </is>
      </c>
    </row>
    <row r="738" ht="6" customHeight="1" s="113">
      <c r="A738" s="186" t="n"/>
      <c r="B738" s="186" t="n"/>
      <c r="C738" s="186" t="n"/>
    </row>
    <row r="740" ht="24" customHeight="1" s="113">
      <c r="A740" s="183" t="inlineStr">
        <is>
          <t xml:space="preserve">  USD/CAD   |   Preț: 1.3723   |   Zi: -0.10%   |   RSI: 57.0   |   Confluențe: 1/5   |   SEMNAL: WAIT  </t>
        </is>
      </c>
    </row>
    <row r="741" ht="18" customHeight="1" s="113">
      <c r="A741" s="184" t="inlineStr">
        <is>
          <t xml:space="preserve">  DE CE S-A MIȘCAT ASTĂZI</t>
        </is>
      </c>
    </row>
    <row r="742" ht="302" customHeight="1" s="113">
      <c r="A742" s="185" t="inlineStr">
        <is>
          <t>USD/CAD a scăzut ușor cu 0.10% astăzi (preț curent: 1.3723).
Pe săptămână: +0.28% | Pe lună: +0.21%.
Volum în linie cu media (1.0x) — nicio anomalie de participare.
RSI = 57.0 — Momentum POZITIV.
Cumpărătorii au controlul, dar activul nu este încă supraevaluat. Zona 55-70 este adesea CEA MAI PROFITABILĂ pentru trend-following. Trendul bullish se menține solid.
MACD pozitiv și crescător (histogram: +0.0013).
Momentumul bullish se menține, fără un crossover proaspăt. Trendul continuă dar fără accelerare nouă.
DEATH CROSS ACTIV: MA50 (1.37) &lt; MA200 (1.38).
Semnal bearish major pe termen mediu-lung. Mulți investitori instituționali reduc expunerea automat la Death Cross. Creșterile temporare pot fi oportunități de vânzare (short) sau ieșire din poziții long.
PREȚ LA BANDA SUPERIOARĂ Bollinger (1.3760).
Statistic, prețul revine spre medie în ~80% din cazuri după atingerea benzii superioare. Semnal: posibilă supraextindere pe termen scurt — risc crescut de corecție iminentă sau consolidare orizontală.
Stochastic %K = 86.0 — OVERBOUGHT (peste 80).
Activul s-a apreciat rapid pe termen scurt. Când %K coboară sub %D din zona &gt;80, este semnal de vânzare / luare profit pe termen scurt.
CONCLUZIE: Semnalele sunt MIXTE — AȘTEPTARE recomandată.
Nu forța o tranzacție când piața nu are direcție clară. Cel mai bun trade uneori este să nu tranzacționezi.</t>
        </is>
      </c>
    </row>
    <row r="743" ht="18" customHeight="1" s="113">
      <c r="A743" s="184" t="inlineStr">
        <is>
          <t xml:space="preserve">  OPORTUNITATE DE TRADING</t>
        </is>
      </c>
    </row>
    <row r="744" ht="133" customHeight="1" s="113">
      <c r="A744" s="185" t="inlineStr">
        <is>
          <t>NU EXISTĂ OPORTUNITATE CLARĂ în acest moment.
Confluențe tehnice: 1/5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745" ht="18" customHeight="1" s="113">
      <c r="A745" s="184" t="inlineStr">
        <is>
          <t xml:space="preserve">  PATTERN GRAFIC DETECTAT</t>
        </is>
      </c>
    </row>
    <row r="746" ht="432" customHeight="1" s="113">
      <c r="A746" s="185" t="inlineStr">
        <is>
          <t>PATTERN ACTIV: DEATH CROSS
MA50 (1.37) &lt; MA200 (1.38) cu 0.82%.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
PATTERN ACTIV: BOLLINGER BAND SQUEEZE
Lățime benzi: 0.0184 (sub 4% din preț) — compresie extremă.
Semnificație:
Perioadele de volatilitate scăzută sunt urmate INVARIABIL de explozii de volatilitate. Piața 'se încolăcește' înainte de o mișcare mare.
STRATEGIE PRACTICĂ:
Plasează un ordin BUY STOP cu 1.3828 (deasupra benzii superioare 1.3760) și un SELL STOP cu 1.3508 (sub banda inferioară 1.3576). Cel care se activează primul = direcția breakout-ului. Anulează imediat celălalt ordin.
PATTERN: STOCHASTIC OVERBOUGHT CROSSOVER
%K (86.0) a coborât sub %D (89.5) din zona peste 75.
Semnal de luare a profitului / vânzare pe termen scurt.
PATTERN: TEST MA50
Prețul (1.3723) se află la +0.26% față de MA50 (1.37).
MA50 este CEL MAI URMĂRIT nivel dinamic de suport/rezistență. Un test al MA50 poate fi:
  BOUNCE (revenire): prețul respinge MA50 și continuă trendul → confirmă trendul
  BREAKDOWN: prețul sparge MA50 pe volum → semnal bearish
  FAKE: prețul taie MA50 dar revine rapid (whipsaw) → semn de piață slabă
Fii FOARTE ATENT la candle-ul de închidere față de MA50 azi!</t>
        </is>
      </c>
    </row>
    <row r="747" ht="18" customHeight="1" s="113">
      <c r="A747" s="184" t="inlineStr">
        <is>
          <t xml:space="preserve">  LECȚIA ZILEI</t>
        </is>
      </c>
    </row>
    <row r="748" ht="289" customHeight="1" s="113">
      <c r="A748" s="185" t="inlineStr">
        <is>
          <t xml:space="preserve">
─────────────────────────────────────────────LECȚIE — PUTEREA 'NU TRANZACȚIONEZ' :
Una dintre cele mai greu de aplicat lecții în trading este să nu faci nimic. Mulți traderi simt nevoia permanentă de a fi 'în piață'. Realitatea: marii profesioniști stau în cash sau neutral 60-70% din timp și atacă DOAR când setup-ul este perfect.
Jack Schwager, în cartea 'Market Wizards', a intervievat cei mai buni traderi din lume. Toți aveau în comun un lucru: SELECTIVITATE EXTREMĂ. Nu numărul de tranzacții te îmbogățește, ci CALITATEA lor.
Aplicare practică: stabilește-ți un checklist cu 5 condiții. Intri DOAR dacă toate 5 sunt bifate. Astăzi acest activ nu le bifează.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t>
        </is>
      </c>
    </row>
    <row r="749" ht="6" customHeight="1" s="113">
      <c r="A749" s="186" t="n"/>
      <c r="B749" s="186" t="n"/>
      <c r="C749" s="186" t="n"/>
    </row>
    <row r="751" ht="24" customHeight="1" s="113">
      <c r="A751" s="187" t="inlineStr">
        <is>
          <t xml:space="preserve">  EUR/RON   |   Preț: 5.0952   |   Zi: +0.14%   |   RSI: 55.8   |   Confluențe: 4/5   |   SEMNAL: BUY  </t>
        </is>
      </c>
    </row>
    <row r="752" ht="18" customHeight="1" s="113">
      <c r="A752" s="184" t="inlineStr">
        <is>
          <t xml:space="preserve">  DE CE S-A MIȘCAT ASTĂZI</t>
        </is>
      </c>
    </row>
    <row r="753" ht="263" customHeight="1" s="113">
      <c r="A753" s="185" t="inlineStr">
        <is>
          <t>EUR/RON a crescut ușor cu 0.14% astăzi (preț curent: 5.0952).
Pe săptămână: +0.14% | Pe lună: +0.10%.
Volum în linie cu media (1.0x) — nicio anomalie de participare.
RSI = 55.8 — Momentum POZITIV.
Cumpărătorii au controlul, dar activul nu este încă supraevaluat. Zona 55-70 este adesea CEA MAI PROFITABILĂ pentru trend-following. Trendul bullish se menține solid.
MACD: BULLISH CROSSOVER CONFIRMAT (histogram: +0.0004).
Linia MACD a trecut DEASUPRA liniei de semnal — unul dintre cele mai puternice semnale de schimbare a direcției spre bullish. Momentumul câștigă forță în favoarea cumpărătorilor. Confirmă cu volumul crescut pentru un semnal de calitate.
GOLDEN CROSS ACTIV: MA50 (5.09) &gt; MA200 (5.08).
Cea mai importantă configurație bullish pe termen mediu-lung. Fondurile de pensii, ETF-urile și robo-advisors cumpără automat la Golden Cross. Trendul major este ascendent — scăderile sunt oportunități de cumpărare, nu semnale de panică.
PREȚ LA BANDA SUPERIOARĂ Bollinger (5.0943).
Statistic, prețul revine spre medie în ~80% din cazuri după atingerea benzii superioare. Semnal: posibilă supraextindere pe termen scurt — risc crescut de corecție iminentă sau consolidare orizontală.
CONCLUZIE: Configurația tehnică este FAVORABILĂ CUMPĂRĂRII.
Momentul tehnic este bun. Riscul principal: o deteriorare bruscă a sentimentului global (VIX spike, știri macro negative) poate invalida setup-ul. Respectă strict stop loss-ul!</t>
        </is>
      </c>
    </row>
    <row r="754" ht="18" customHeight="1" s="113">
      <c r="A754" s="184" t="inlineStr">
        <is>
          <t xml:space="preserve">  OPORTUNITATE DE TRADING</t>
        </is>
      </c>
    </row>
    <row r="755" ht="172" customHeight="1" s="113">
      <c r="A755" s="185" t="inlineStr">
        <is>
          <t>OPORTUNITATE DE CUMPĂRARE — 4 confluențe tehnice aliniate.
Probabilitate estimată de succes: 75%
PARAMETRI TRANZACȚIE:
  Entry (intrare recomandata) :  5.0952
  Stop Loss (SL)             :  5.0772     ← risc 0.4% din pozitie
  Take Profit (TP)           :  5.1313     ← recompensa 0.7%
  Risk/Reward Ratio          :  2.00x   BUN ★★
  ATR (volatilitate zilnica) :  0.0120
RR de 2.0x este solid și profesionist.
Cu un win rate de 40% și un RR constant de 2x, sistemul este matematic profitabil pe termen lung. Nu ceda tentației de a muta TP-ul prea devreme.</t>
        </is>
      </c>
    </row>
    <row r="756" ht="18" customHeight="1" s="113">
      <c r="A756" s="184" t="inlineStr">
        <is>
          <t xml:space="preserve">  PATTERN GRAFIC DETECTAT</t>
        </is>
      </c>
    </row>
    <row r="757" ht="523" customHeight="1" s="113">
      <c r="A757" s="185" t="inlineStr">
        <is>
          <t>PATTERN ACTIV: GOLDEN CROSS
MA50 (5.09) &gt; MA200 (5.08) cu 0.16%.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
PATTERN ACTIV: BOLLINGER BAND SQUEEZE
Lățime benzi: 0.0113 (sub 4% din preț) — compresie extremă.
Semnificație:
Perioadele de volatilitate scăzută sunt urmate INVARIABIL de explozii de volatilitate. Piața 'se încolăcește' înainte de o mișcare mare.
STRATEGIE PRACTICĂ:
Plasează un ordin BUY STOP cu 5.1197 (deasupra benzii superioare 5.0943) și un SELL STOP cu 5.0576 (sub banda inferioară 5.0830). Cel care se activează primul = direcția breakout-ului. Anulează imediat celălalt ordin.
PATTERN ACTIV: MACD BULLISH CROSSOVER
Histogramă: +0.000363 (trecere în teritoriu pozitiv).
CE ÎNSEAMNĂ PE GRAFIC:
Barele histogramei au trecut de la ROȘU (negativ) la VERDE (pozitiv). Linia MACD (rapidă) a depășit linia Signal (lentă).
CEL MAI PUTERNIC SEMNAL:
Crossover bullish care apare EXACT LA LINIA ZERO este considerat cel mai fiabil. Un crossover la -0.5 sau -1.0 (departe de zero) este mai slab.
CAPCANA:
MACD crossover pe VOLUM MIC poate fi fals. Confirmă întotdeauna cu volumul crescut! Rvol curent: 1.0x ⚠ Slab.
PATTERN: TEST MA50
Prețul (5.0952) se află la +0.14% față de MA50 (5.09).
MA50 este CEL MAI URMĂRIT nivel dinamic de suport/rezistență. Un test al MA50 poate fi:
  BOUNCE (revenire): prețul respinge MA50 și continuă trendul → confirmă trendul
  BREAKDOWN: prețul sparge MA50 pe volum → semnal bearish
  FAKE: prețul taie MA50 dar revine rapid (whipsaw) → semn de piață slabă
Fii FOARTE ATENT la candle-ul de închidere față de MA50 azi!</t>
        </is>
      </c>
    </row>
    <row r="758" ht="18" customHeight="1" s="113">
      <c r="A758" s="184" t="inlineStr">
        <is>
          <t xml:space="preserve">  LECȚIA ZILEI</t>
        </is>
      </c>
    </row>
    <row r="759" ht="393" customHeight="1" s="113">
      <c r="A759" s="185" t="inlineStr">
        <is>
          <t xml:space="preserve">
─────────────────────────────────────────────LECȚIE — GOLDEN CROSS: ÎNTÂRZIERE VS. ANTICIPARE:
Golden Cross este real și puternic, dar are un defect major: este un indicator LAGGING (cu întârziere). Apare DUPĂ ce prețul a urcat deja 10-30%.
Strategia amatorilor: cumpără exact la Golden Cross (prea târziu).
Strategia profesioniștilor: anticipează Golden Cross-ul.
Cum anticipezi:
  1. MA200 încetinește scăderea (se aplatizează)
  2. MA50 oprește scăderea și inversează
  3. RSI revine din sub 30 → zona 40-50
  4. MACD formează un bullish crossover la zero line
  5. Volumul crește pe zilele UP
Dacă bifezi 4 din 5 și Golden Cross nu s-a format încă — ACELA este momentul optim de cumpărare.
LECȚIE PSIHOLOGIE — EMOȚIILE ȘI PIERDEREA BANILOR:
Studiile arată că durerea unei pierderi de 100 lei este psihologic de 2x mai intensă decât bucuria unui câștig de 100 lei (Loss Aversion, Daniel Kahneman, Nobel 2002).
Cum afectează trading-ul:
  1. Ții pozițiile perdante prea mult ('o să revină')
  2. Vinzi pozițiile câștigătoare prea repede (frică să nu pierzi profitul)
  3. Dublezi pe pierdere pentru a 'recupera' (averaging down neselectiv)
  4. Faci revenge trading după o pierdere (emoție, nu analiză)
Soluția: PLAN SCRIS înainte de intrare. Entry, SL, TP, sizing — scrise pe hârtie sau în jurnal ÎNAINTE de a deschide poziția. Odată în poziție, lăsă planul să lucreze, nu emoțiile.</t>
        </is>
      </c>
    </row>
    <row r="760" ht="6" customHeight="1" s="113">
      <c r="A760" s="186" t="n"/>
      <c r="B760" s="186" t="n"/>
      <c r="C760" s="186" t="n"/>
    </row>
    <row r="762" ht="24" customHeight="1" s="113">
      <c r="A762" s="188" t="inlineStr">
        <is>
          <t xml:space="preserve">  USD/RON   |   Preț: 4.3845   |   Zi: -0.23%   |   RSI: 55.9   |   Confluențe: 4/5   |   SEMNAL: SELL  </t>
        </is>
      </c>
    </row>
    <row r="763" ht="18" customHeight="1" s="113">
      <c r="A763" s="184" t="inlineStr">
        <is>
          <t xml:space="preserve">  DE CE S-A MIȘCAT ASTĂZI</t>
        </is>
      </c>
    </row>
    <row r="764" ht="250" customHeight="1" s="113">
      <c r="A764" s="185" t="inlineStr">
        <is>
          <t>USD/RON a scăzut ușor cu 0.23% astăzi (preț curent: 4.3845).
Pe săptămână: -0.91% | Pe lună: +1.59%.
Volum în linie cu media (1.0x) — nicio anomalie de participare.
RSI = 55.9 — Momentum POZITIV.
Cumpărătorii au controlul, dar activul nu este încă supraevaluat. Zona 55-70 este adesea CEA MAI PROFITABILĂ pentru trend-following. Trendul bullish se menține solid.
MACD: BEARISH CROSSOVER CONFIRMAT (histogram: -0.0000).
Linia MACD a trecut DEDESUBT liniei de semnal. Momentumul bullish s-a epuizat — vânzătorii preiau controlul. Semnal de prudență pentru deținătorii de poziții long.
DEATH CROSS ACTIV: MA50 (4.34) &lt; MA200 (4.35).
Semnal bearish major pe termen mediu-lung. Mulți investitori instituționali reduc expunerea automat la Death Cross. Creșterile temporare pot fi oportunități de vânzare (short) sau ieșire din poziții long.
Prețul în interiorul Bollinger (4.2875 — 4.4651). Nicio extremă pentru moment, volatilitate normală.
CONCLUZIE: Configurația tehnică indică PRESIUNE DE VÂNZARE.
Prudență cu pozițiile long existente. Dacă ești short, respectă stop loss-ul pentru a nu fi prins în rally-uri de recuperare (bear rallies).</t>
        </is>
      </c>
    </row>
    <row r="765" ht="18" customHeight="1" s="113">
      <c r="A765" s="184" t="inlineStr">
        <is>
          <t xml:space="preserve">  OPORTUNITATE DE TRADING</t>
        </is>
      </c>
    </row>
    <row r="766" ht="211" customHeight="1" s="113">
      <c r="A766" s="185" t="inlineStr">
        <is>
          <t>OPORTUNITATE SHORT / VÂNZARE — 4 confluențe tehnice aliniate.
Probabilitate estimată: 75%
PARAMETRI SHORT:
  Entry short                :  4.3845
  Stop Loss (SL)             :  4.4459     ← risc 1.4% din pozitie
  Take Profit (TP)           :  4.2618     ← target scadere 2.8%
  Risk/Reward Ratio          :  2.00x   BUN ★★
  ATR (volatilitate zilnica) :  0.0409
IMPORTANT — SHORT-UL este o strategie avansată:
  • Short-ul implică a vinde ceva ce nu deții (împrumutat)
  • Pierderea teoretică este NELIMITATĂ (prețul poate urca infinit)
  • Necesită cont de marjă și experiență prealabilă
  • Alternativa mai sigură: cumpără un ETF inversat sau opțiuni PUT</t>
        </is>
      </c>
    </row>
    <row r="767" ht="18" customHeight="1" s="113">
      <c r="A767" s="184" t="inlineStr">
        <is>
          <t xml:space="preserve">  PATTERN GRAFIC DETECTAT</t>
        </is>
      </c>
    </row>
    <row r="768" ht="237" customHeight="1" s="113">
      <c r="A768" s="185" t="inlineStr">
        <is>
          <t>PATTERN ACTIV: DEATH CROSS
MA50 (4.34) &lt; MA200 (4.35) cu 0.19%.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
PATTERN ACTIV: MACD BEARISH CROSSOVER
Histogramă: -0.000024 (trecere în teritoriu negativ).
CE ÎNSEAMNĂ PE GRAFIC:
Barele histogramei trec din VERDE în ROȘU. Linia MACD a coborât sub linia Signal — momentumul pozitiv s-a epuizat.
IMPLICAȚII:
Semnal de prudență pentru deținătorii de poziții long. Nu înseamnă obligatoriu că prețul va scădea mult, dar probabilitatea de continuare bullish scade semnificativ.</t>
        </is>
      </c>
    </row>
    <row r="769" ht="18" customHeight="1" s="113">
      <c r="A769" s="184" t="inlineStr">
        <is>
          <t xml:space="preserve">  LECȚIA ZILEI</t>
        </is>
      </c>
    </row>
    <row r="770" ht="341" customHeight="1" s="113">
      <c r="A770" s="185" t="inlineStr">
        <is>
          <t xml:space="preserve">
─────────────────────────────────────────────LECȚIE — DEATH CROSS: GREȘEALA CLASICĂ:
Death Cross apare adesea la MIJLOCUL unei corecții, nu la început. Dacă vinzi în panică la Death Cross, vinzi la jumătatea scăderii.
Strategia corectă:
  1. Reducerea expunerii la PRIMELE semnale (MA50 se aplatizează,      MACD bearish cross, volum crescut pe zile negative)
  2. La Death Cross complet format: evaluezi dacă teza investițională      mai este validă pe termen lung
  3. Dacă fundamentele sunt bune: Death Cross = oportunitate de      acumulare în etape (Dollar Cost Averaging)
  4. Dacă fundamentele s-au deteriorat: Death Cross = confirmare      că ai dreptate să ieși
Nu există un răspuns universal — contextul fundamental contează enorm.
LECȚIE PSIHOLOGIE — EMOȚIILE ȘI PIERDEREA BANILOR:
Studiile arată că durerea unei pierderi de 100 lei este psihologic de 2x mai intensă decât bucuria unui câștig de 100 lei (Loss Aversion, Daniel Kahneman, Nobel 2002).
Cum afectează trading-ul:
  1. Ții pozițiile perdante prea mult ('o să revină')
  2. Vinzi pozițiile câștigătoare prea repede (frică să nu pierzi profitul)
  3. Dublezi pe pierdere pentru a 'recupera' (averaging down neselectiv)
  4. Faci revenge trading după o pierdere (emoție, nu analiză)
Soluția: PLAN SCRIS înainte de intrare. Entry, SL, TP, sizing — scrise pe hârtie sau în jurnal ÎNAINTE de a deschide poziția. Odată în poziție, lăsă planul să lucreze, nu emoțiile.</t>
        </is>
      </c>
    </row>
    <row r="771" ht="6" customHeight="1" s="113">
      <c r="A771" s="186" t="n"/>
      <c r="B771" s="186" t="n"/>
      <c r="C771" s="186" t="n"/>
    </row>
    <row r="773" ht="24" customHeight="1" s="113">
      <c r="A773" s="183" t="inlineStr">
        <is>
          <t xml:space="preserve">  GBP/RON   |   Preț: 5.8930   |   Zi: -0.12%   |   RSI: 71.7   |   Confluențe: 2/5   |   SEMNAL: WAIT  </t>
        </is>
      </c>
    </row>
    <row r="774" ht="18" customHeight="1" s="113">
      <c r="A774" s="184" t="inlineStr">
        <is>
          <t xml:space="preserve">  DE CE S-A MIȘCAT ASTĂZI</t>
        </is>
      </c>
    </row>
    <row r="775" ht="263" customHeight="1" s="113">
      <c r="A775" s="185" t="inlineStr">
        <is>
          <t>GBP/RON a scăzut ușor cu 0.12% astăzi (preț curent: 5.8930).
Pe săptămână: +0.03% | Pe lună: +1.17%.
Volum în linie cu media (1.0x) — nicio anomalie de participare.
RSI = 71.7 — ZONĂ SUPRAEVALUAT (peste 70).
Activul a crescut prea rapid. Probabilitatea unei corecții sau consolidări crește. Cei cu poziții long ar trebui să ia în considerare protejarea profiturilor (trailing stop sau reducere parțială a expunerii).
MACD pozitiv și crescător (histogram: +0.0032).
Momentumul bullish se menține, fără un crossover proaspăt. Trendul continuă dar fără accelerare nouă.
GOLDEN CROSS ACTIV: MA50 (5.86) &gt; MA200 (5.84).
Cea mai importantă configurație bullish pe termen mediu-lung. Fondurile de pensii, ETF-urile și robo-advisors cumpără automat la Golden Cross. Trendul major este ascendent — scăderile sunt oportunități de cumpărare, nu semnale de panică.
PREȚ LA BANDA SUPERIOARĂ Bollinger (5.9250).
Statistic, prețul revine spre medie în ~80% din cazuri după atingerea benzii superioare. Semnal: posibilă supraextindere pe termen scurt — risc crescut de corecție iminentă sau consolidare orizontală.
CONCLUZIE: Semnalele sunt MIXTE — AȘTEPTARE recomandată.
Nu forța o tranzacție când piața nu are direcție clară. Cel mai bun trade uneori este să nu tranzacționezi.</t>
        </is>
      </c>
    </row>
    <row r="776" ht="18" customHeight="1" s="113">
      <c r="A776" s="184" t="inlineStr">
        <is>
          <t xml:space="preserve">  OPORTUNITATE DE TRADING</t>
        </is>
      </c>
    </row>
    <row r="777" ht="133" customHeight="1" s="113">
      <c r="A777" s="185" t="inlineStr">
        <is>
          <t>NU EXISTĂ OPORTUNITATE CLARĂ în acest moment.
Confluențe tehnice: 2/5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778" ht="18" customHeight="1" s="113">
      <c r="A778" s="184" t="inlineStr">
        <is>
          <t xml:space="preserve">  PATTERN GRAFIC DETECTAT</t>
        </is>
      </c>
    </row>
    <row r="779" ht="367" customHeight="1" s="113">
      <c r="A779" s="185" t="inlineStr">
        <is>
          <t>PATTERN ACTIV: GOLDEN CROSS
MA50 (5.86) &gt; MA200 (5.84) cu 0.40%.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
PATTERN ACTIV: BOLLINGER BAND SQUEEZE
Lățime benzi: 0.1208 (sub 4% din preț) — compresie extremă.
Semnificație:
Perioadele de volatilitate scăzută sunt urmate INVARIABIL de explozii de volatilitate. Piața 'se încolăcește' înainte de o mișcare mare.
STRATEGIE PRACTICĂ:
Plasează un ordin BUY STOP cu 5.9546 (deasupra benzii superioare 5.9250) și un SELL STOP cu 5.7752 (sub banda inferioară 5.8042). Cel care se activează primul = direcția breakout-ului. Anulează imediat celălalt ordin.
PATTERN: TEST MA50
Prețul (5.8930) se află la +0.58% față de MA50 (5.86).
MA50 este CEL MAI URMĂRIT nivel dinamic de suport/rezistență. Un test al MA50 poate fi:
  BOUNCE (revenire): prețul respinge MA50 și continuă trendul → confirmă trendul
  BREAKDOWN: prețul sparge MA50 pe volum → semnal bearish
  FAKE: prețul taie MA50 dar revine rapid (whipsaw) → semn de piață slabă
Fii FOARTE ATENT la candle-ul de închidere față de MA50 azi!</t>
        </is>
      </c>
    </row>
    <row r="780" ht="18" customHeight="1" s="113">
      <c r="A780" s="184" t="inlineStr">
        <is>
          <t xml:space="preserve">  LECȚIA ZILEI</t>
        </is>
      </c>
    </row>
    <row r="781" ht="289" customHeight="1" s="113">
      <c r="A781" s="185" t="inlineStr">
        <is>
          <t xml:space="preserve">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
LECȚIE — NU SHORT-UI ÎNTR-UN BULL MARKET:
RSI peste 70 nu înseamnă automat 'vinde'. NVIDIA în 2023-2024 a avut RSI peste 70 timp de 8 luni consecutive și a crescut cu 400% în acea perioadă.
Activele pot rămâne 'supraevaluate' luni întregi în bull market-uri puternice. Regula: short-ul pe RSI ridicat funcționează în piețe laterale sau bearish. În uptrend puternic (Golden Cross + volum crescut), short-ul pe RSI ridicat = rețetă pentru pierderi mari.
Alternativa corectă: dacă ești long, folosești trailing stop pentru a lăsa profitul să curgă și a te proteja simultan.</t>
        </is>
      </c>
    </row>
    <row r="782" ht="6" customHeight="1" s="113">
      <c r="A782" s="186" t="n"/>
      <c r="B782" s="186" t="n"/>
      <c r="C782" s="186" t="n"/>
    </row>
    <row r="784" ht="24" customHeight="1" s="113">
      <c r="A784" s="183" t="inlineStr">
        <is>
          <t xml:space="preserve">  EUR/GBP   |   Preț: 0.8644   |   Zi: +0.25%   |   RSI: 26.4   |   Confluențe: 1/5   |   SEMNAL: WAIT  </t>
        </is>
      </c>
    </row>
    <row r="785" ht="18" customHeight="1" s="113">
      <c r="A785" s="184" t="inlineStr">
        <is>
          <t xml:space="preserve">  DE CE S-A MIȘCAT ASTĂZI</t>
        </is>
      </c>
    </row>
    <row r="786" ht="263" customHeight="1" s="113">
      <c r="A786" s="185" t="inlineStr">
        <is>
          <t>EUR/GBP a crescut ușor cu 0.25% astăzi (preț curent: 0.8644).
Pe săptămână: +0.09% | Pe lună: -1.07%.
Volum în linie cu media (1.0x) — nicio anomalie de participare.
RSI = 26.4 — ZONĂ SUPRAVÂNDUT (sub 30).
Activul a scăzut prea rapid și există presiune acumulată de cumpărare. Istoric, RSI sub 30 semnalează că prețul este 'ieftin' față de media sa. Nu înseamnă revenire imediată — poate rămâne sub 30 zile sau săptămâni — dar crește semnificativ probabilitatea unui bounce (recuperare) în zilele imediat următoare.
MACD negativ (histogram: -0.0004).
Presiunea de vânzare domină pe termen scurt. Fii precaut cu pozițiile long în acest context.
DEATH CROSS ACTIV: MA50 (0.87) &lt; MA200 (0.87).
Semnal bearish major pe termen mediu-lung. Mulți investitori instituționali reduc expunerea automat la Death Cross. Creșterile temporare pot fi oportunități de vânzare (short) sau ieșire din poziții long.
PREȚ LA BANDA INFERIOARĂ Bollinger (0.8584).
Zonă de potențial suport tehnic. Statistic, 80% din oscilații rămân în interiorul benzilor. Posibilă revenire spre MA20 (mijlocul benzilor) în zilele imediat următoare.
CONCLUZIE: Semnalele sunt MIXTE — AȘTEPTARE recomandată.
Nu forța o tranzacție când piața nu are direcție clară. Cel mai bun trade uneori este să nu tranzacționezi.</t>
        </is>
      </c>
    </row>
    <row r="787" ht="18" customHeight="1" s="113">
      <c r="A787" s="184" t="inlineStr">
        <is>
          <t xml:space="preserve">  OPORTUNITATE DE TRADING</t>
        </is>
      </c>
    </row>
    <row r="788" ht="133" customHeight="1" s="113">
      <c r="A788" s="185" t="inlineStr">
        <is>
          <t>NU EXISTĂ OPORTUNITATE CLARĂ în acest moment.
Confluențe tehnice: 1/5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789" ht="18" customHeight="1" s="113">
      <c r="A789" s="184" t="inlineStr">
        <is>
          <t xml:space="preserve">  PATTERN GRAFIC DETECTAT</t>
        </is>
      </c>
    </row>
    <row r="790" ht="367" customHeight="1" s="113">
      <c r="A790" s="185" t="inlineStr">
        <is>
          <t>PATTERN ACTIV: DEATH CROSS
MA50 (0.87) &lt; MA200 (0.87) cu 0.07%.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
PATTERN ACTIV: BOLLINGER BAND SQUEEZE
Lățime benzi: 0.0186 (sub 4% din preț) — compresie extremă.
Semnificație:
Perioadele de volatilitate scăzută sunt urmate INVARIABIL de explozii de volatilitate. Piața 'se încolăcește' înainte de o mișcare mare.
STRATEGIE PRACTICĂ:
Plasează un ordin BUY STOP cu 0.8814 (deasupra benzii superioare 0.8770) și un SELL STOP cu 0.8541 (sub banda inferioară 0.8584). Cel care se activează primul = direcția breakout-ului. Anulează imediat celălalt ordin.
PATTERN: TEST MA50
Prețul (0.8644) se află la -0.47% față de MA50 (0.87).
MA50 este CEL MAI URMĂRIT nivel dinamic de suport/rezistență. Un test al MA50 poate fi:
  BOUNCE (revenire): prețul respinge MA50 și continuă trendul → confirmă trendul
  BREAKDOWN: prețul sparge MA50 pe volum → semnal bearish
  FAKE: prețul taie MA50 dar revine rapid (whipsaw) → semn de piață slabă
Fii FOARTE ATENT la candle-ul de închidere față de MA50 azi!</t>
        </is>
      </c>
    </row>
    <row r="791" ht="18" customHeight="1" s="113">
      <c r="A791" s="184" t="inlineStr">
        <is>
          <t xml:space="preserve">  LECȚIA ZILEI</t>
        </is>
      </c>
    </row>
    <row r="792" ht="289" customHeight="1" s="113">
      <c r="A792" s="185" t="inlineStr">
        <is>
          <t xml:space="preserve">
─────────────────────────────────────────────LECȚIE — PUTEREA 'NU TRANZACȚIONEZ' :
Una dintre cele mai greu de aplicat lecții în trading este să nu faci nimic. Mulți traderi simt nevoia permanentă de a fi 'în piață'. Realitatea: marii profesioniști stau în cash sau neutral 60-70% din timp și atacă DOAR când setup-ul este perfect.
Jack Schwager, în cartea 'Market Wizards', a intervievat cei mai buni traderi din lume. Toți aveau în comun un lucru: SELECTIVITATE EXTREMĂ. Nu numărul de tranzacții te îmbogățește, ci CALITATEA lor.
Aplicare practică: stabilește-ți un checklist cu 5 condiții. Intri DOAR dacă toate 5 sunt bifate. Astăzi acest activ nu le bifează.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t>
        </is>
      </c>
    </row>
    <row r="793" ht="6" customHeight="1" s="113">
      <c r="A793" s="186" t="n"/>
      <c r="B793" s="186" t="n"/>
      <c r="C793" s="186" t="n"/>
    </row>
    <row r="795" ht="24" customHeight="1" s="113">
      <c r="A795" s="183" t="inlineStr">
        <is>
          <t xml:space="preserve">  USD/CNY   |   Preț: 6.8802   |   Zi: -0.28%   |   RSI: 49.7   |   Confluențe: 1/5   |   SEMNAL: WAIT  </t>
        </is>
      </c>
    </row>
    <row r="796" ht="18" customHeight="1" s="113">
      <c r="A796" s="184" t="inlineStr">
        <is>
          <t xml:space="preserve">  DE CE S-A MIȘCAT ASTĂZI</t>
        </is>
      </c>
    </row>
    <row r="797" ht="302" customHeight="1" s="113">
      <c r="A797" s="185" t="inlineStr">
        <is>
          <t>USD/CNY a scăzut ușor cu 0.28% astăzi (preț curent: 6.8802).
Pe săptămână: -1.08% | Pe lună: -0.40%.
Volum în linie cu media (1.0x) — nicio anomalie de participare.
RSI = 49.7 — Zonă NEUTRĂ.
Echilibru între cumpărători și vânzători. Piața caută direcție. Evita pozițiile mari până la o confirmare clară de trend.
MACD pozitiv și crescător (histogram: +0.0027).
Momentumul bullish se menține, fără un crossover proaspăt. Trendul continuă dar fără accelerare nouă.
DEATH CROSS ACTIV: MA50 (6.92) &lt; MA200 (7.07).
Semnal bearish major pe termen mediu-lung. Mulți investitori instituționali reduc expunerea automat la Death Cross. Creșterile temporare pot fi oportunități de vânzare (short) sau ieșire din poziții long.
PREȚ LA BANDA SUPERIOARĂ Bollinger (6.9351).
Statistic, prețul revine spre medie în ~80% din cazuri după atingerea benzii superioare. Semnal: posibilă supraextindere pe termen scurt — risc crescut de corecție iminentă sau consolidare orizontală.
Stochastic %K = 16.3 — OVERSOLD (sub 20).
Presiune de vânzare excesivă pe termen scurt. Când %K depășește %D din jos în sus sub nivelul 20, este un semnal clasic de cumpărare pe termen scurt.
CONCLUZIE: Semnalele sunt MIXTE — AȘTEPTARE recomandată.
Nu forța o tranzacție când piața nu are direcție clară. Cel mai bun trade uneori este să nu tranzacționezi.</t>
        </is>
      </c>
    </row>
    <row r="798" ht="18" customHeight="1" s="113">
      <c r="A798" s="184" t="inlineStr">
        <is>
          <t xml:space="preserve">  OPORTUNITATE DE TRADING</t>
        </is>
      </c>
    </row>
    <row r="799" ht="133" customHeight="1" s="113">
      <c r="A799" s="185" t="inlineStr">
        <is>
          <t>NU EXISTĂ OPORTUNITATE CLARĂ în acest moment.
Confluențe tehnice: 1/5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800" ht="18" customHeight="1" s="113">
      <c r="A800" s="184" t="inlineStr">
        <is>
          <t xml:space="preserve">  PATTERN GRAFIC DETECTAT</t>
        </is>
      </c>
    </row>
    <row r="801" ht="367" customHeight="1" s="113">
      <c r="A801" s="185" t="inlineStr">
        <is>
          <t>PATTERN ACTIV: DEATH CROSS
MA50 (6.92) &lt; MA200 (7.07) cu 2.16%.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
PATTERN ACTIV: BOLLINGER BAND SQUEEZE
Lățime benzi: 0.0958 (sub 4% din preț) — compresie extremă.
Semnificație:
Perioadele de volatilitate scăzută sunt urmate INVARIABIL de explozii de volatilitate. Piața 'se încolăcește' înainte de o mișcare mare.
STRATEGIE PRACTICĂ:
Plasează un ordin BUY STOP cu 6.9697 (deasupra benzii superioare 6.9351) și un SELL STOP cu 6.8051 (sub banda inferioară 6.8393). Cel care se activează primul = direcția breakout-ului. Anulează imediat celălalt ordin.
PATTERN: TEST MA50
Prețul (6.8802) se află la -0.57% față de MA50 (6.92).
MA50 este CEL MAI URMĂRIT nivel dinamic de suport/rezistență. Un test al MA50 poate fi:
  BOUNCE (revenire): prețul respinge MA50 și continuă trendul → confirmă trendul
  BREAKDOWN: prețul sparge MA50 pe volum → semnal bearish
  FAKE: prețul taie MA50 dar revine rapid (whipsaw) → semn de piață slabă
Fii FOARTE ATENT la candle-ul de închidere față de MA50 azi!</t>
        </is>
      </c>
    </row>
    <row r="802" ht="18" customHeight="1" s="113">
      <c r="A802" s="184" t="inlineStr">
        <is>
          <t xml:space="preserve">  LECȚIA ZILEI</t>
        </is>
      </c>
    </row>
    <row r="803" ht="289" customHeight="1" s="113">
      <c r="A803" s="185" t="inlineStr">
        <is>
          <t xml:space="preserve">
─────────────────────────────────────────────LECȚIE — PUTEREA 'NU TRANZACȚIONEZ' :
Una dintre cele mai greu de aplicat lecții în trading este să nu faci nimic. Mulți traderi simt nevoia permanentă de a fi 'în piață'. Realitatea: marii profesioniști stau în cash sau neutral 60-70% din timp și atacă DOAR când setup-ul este perfect.
Jack Schwager, în cartea 'Market Wizards', a intervievat cei mai buni traderi din lume. Toți aveau în comun un lucru: SELECTIVITATE EXTREMĂ. Nu numărul de tranzacții te îmbogățește, ci CALITATEA lor.
Aplicare practică: stabilește-ți un checklist cu 5 condiții. Intri DOAR dacă toate 5 sunt bifate. Astăzi acest activ nu le bifează.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t>
        </is>
      </c>
    </row>
    <row r="804" ht="6" customHeight="1" s="113">
      <c r="A804" s="186" t="n"/>
      <c r="B804" s="186" t="n"/>
      <c r="C804" s="186" t="n"/>
    </row>
    <row r="806" ht="24" customHeight="1" s="113">
      <c r="A806" s="183" t="inlineStr">
        <is>
          <t xml:space="preserve">  USD/TRY   |   Preț: 44.3252   |   Zi: +0.05%   |   RSI: 87.8   |   Confluențe: 1/5   |   SEMNAL: WAIT  </t>
        </is>
      </c>
    </row>
    <row r="807" ht="18" customHeight="1" s="113">
      <c r="A807" s="184" t="inlineStr">
        <is>
          <t xml:space="preserve">  DE CE S-A MIȘCAT ASTĂZI</t>
        </is>
      </c>
    </row>
    <row r="808" ht="302" customHeight="1" s="113">
      <c r="A808" s="185" t="inlineStr">
        <is>
          <t>USD/TRY a crescut ușor cu 0.05% astăzi (preț curent: 44.3252).
Pe săptămână: +0.32% | Pe lună: +1.09%.
Volum în linie cu media (1.0x) — nicio anomalie de participare.
RSI = 87.8 — ZONĂ SUPRAEVALUAT (peste 70).
Activul a crescut prea rapid. Probabilitatea unei corecții sau consolidări crește. Cei cu poziții long ar trebui să ia în considerare protejarea profiturilor (trailing stop sau reducere parțială a expunerii).
MACD pozitiv și crescător (histogram: +0.0056).
Momentumul bullish se menține, fără un crossover proaspăt. Trendul continuă dar fără accelerare nouă.
GOLDEN CROSS ACTIV: MA50 (43.72) &gt; MA200 (42.01).
Cea mai importantă configurație bullish pe termen mediu-lung. Fondurile de pensii, ETF-urile și robo-advisors cumpără automat la Golden Cross. Trendul major este ascendent — scăderile sunt oportunități de cumpărare, nu semnale de panică.
PREȚ LA BANDA SUPERIOARĂ Bollinger (44.3786).
Statistic, prețul revine spre medie în ~80% din cazuri după atingerea benzii superioare. Semnal: posibilă supraextindere pe termen scurt — risc crescut de corecție iminentă sau consolidare orizontală.
Stochastic %K = 92.9 — OVERBOUGHT (peste 80).
Activul s-a apreciat rapid pe termen scurt. Când %K coboară sub %D din zona &gt;80, este semnal de vânzare / luare profit pe termen scurt.
CONCLUZIE: Semnalele sunt MIXTE — AȘTEPTARE recomandată.
Nu forța o tranzacție când piața nu are direcție clară. Cel mai bun trade uneori este să nu tranzacționezi.</t>
        </is>
      </c>
    </row>
    <row r="809" ht="18" customHeight="1" s="113">
      <c r="A809" s="184" t="inlineStr">
        <is>
          <t xml:space="preserve">  OPORTUNITATE DE TRADING</t>
        </is>
      </c>
    </row>
    <row r="810" ht="133" customHeight="1" s="113">
      <c r="A810" s="185" t="inlineStr">
        <is>
          <t>NU EXISTĂ OPORTUNITATE CLARĂ în acest moment.
Confluențe tehnice: 1/5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811" ht="18" customHeight="1" s="113">
      <c r="A811" s="184" t="inlineStr">
        <is>
          <t xml:space="preserve">  PATTERN GRAFIC DETECTAT</t>
        </is>
      </c>
    </row>
    <row r="812" ht="302" customHeight="1" s="113">
      <c r="A812" s="185" t="inlineStr">
        <is>
          <t>PATTERN ACTIV: GOLDEN CROSS
MA50 (43.72) &gt; MA200 (42.01) cu 4.07%.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
PATTERN ACTIV: BOLLINGER BAND SQUEEZE
Lățime benzi: 0.6163 (sub 4% din preț) — compresie extremă.
Semnificație:
Perioadele de volatilitate scăzută sunt urmate INVARIABIL de explozii de volatilitate. Piața 'se încolăcește' înainte de o mișcare mare.
STRATEGIE PRACTICĂ:
Plasează un ordin BUY STOP cu 44.6005 (deasupra benzii superioare 44.3786) și un SELL STOP cu 43.5435 (sub banda inferioară 43.7623). Cel care se activează primul = direcția breakout-ului. Anulează imediat celălalt ordin.
PATTERN: STOCHASTIC OVERBOUGHT CROSSOVER
%K (92.9) a coborât sub %D (96.1) din zona peste 75.
Semnal de luare a profitului / vânzare pe termen scurt.</t>
        </is>
      </c>
    </row>
    <row r="813" ht="18" customHeight="1" s="113">
      <c r="A813" s="184" t="inlineStr">
        <is>
          <t xml:space="preserve">  LECȚIA ZILEI</t>
        </is>
      </c>
    </row>
    <row r="814" ht="289" customHeight="1" s="113">
      <c r="A814" s="185" t="inlineStr">
        <is>
          <t xml:space="preserve">
─────────────────────────────────────────────LECȚIE — PUTEREA 'NU TRANZACȚIONEZ' :
Una dintre cele mai greu de aplicat lecții în trading este să nu faci nimic. Mulți traderi simt nevoia permanentă de a fi 'în piață'. Realitatea: marii profesioniști stau în cash sau neutral 60-70% din timp și atacă DOAR când setup-ul este perfect.
Jack Schwager, în cartea 'Market Wizards', a intervievat cei mai buni traderi din lume. Toți aveau în comun un lucru: SELECTIVITATE EXTREMĂ. Nu numărul de tranzacții te îmbogățește, ci CALITATEA lor.
Aplicare practică: stabilește-ți un checklist cu 5 condiții. Intri DOAR dacă toate 5 sunt bifate. Astăzi acest activ nu le bifează.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t>
        </is>
      </c>
    </row>
    <row r="815" ht="6" customHeight="1" s="113">
      <c r="A815" s="186" t="n"/>
      <c r="B815" s="186" t="n"/>
      <c r="C815" s="186" t="n"/>
    </row>
    <row r="818" ht="28" customHeight="1" s="113">
      <c r="A818" s="182" t="inlineStr">
        <is>
          <t xml:space="preserve">  ══════  MATERII PRIME  ══════</t>
        </is>
      </c>
    </row>
    <row r="820" ht="24" customHeight="1" s="113">
      <c r="A820" s="187" t="inlineStr">
        <is>
          <t xml:space="preserve">  Gold   |   Preț: 4,410.3999   |   Zi: -3.50%   |   RSI: 20.3   |   Confluențe: 4/5   |   SEMNAL: BUY  </t>
        </is>
      </c>
    </row>
    <row r="821" ht="18" customHeight="1" s="113">
      <c r="A821" s="184" t="inlineStr">
        <is>
          <t xml:space="preserve">  DE CE S-A MIȘCAT ASTĂZI</t>
        </is>
      </c>
    </row>
    <row r="822" ht="315" customHeight="1" s="113">
      <c r="A822" s="185" t="inlineStr">
        <is>
          <t>Gold a scăzut semnificativ cu 3.50% astăzi (preț curent: 4,410.3999).
Pe săptămână: -11.81% | Pe lună: -14.46%.
VOLUM EXCEPȚIONAL: 19.1x față de media pe 20 de zile.
Mișcarea de astăzi este CONFIRMATĂ de participare instituțională. Volumul ridicat validează direcția — nu este o mișcare întâmplătoare. Fondurile, băncile și algos tranzacționează activ acest activ azi.
RSI = 20.3 — ZONĂ SUPRAVÂNDUT (sub 30).
Activul a scăzut prea rapid și există presiune acumulată de cumpărare. Istoric, RSI sub 30 semnalează că prețul este 'ieftin' față de media sa. Nu înseamnă revenire imediată — poate rămâne sub 30 zile sau săptămâni — dar crește semnificativ probabilitatea unui bounce (recuperare) în zilele imediat următoare.
MACD negativ (histogram: -89.9292).
Presiunea de vânzare domină pe termen scurt. Fii precaut cu pozițiile long în acest context.
GOLDEN CROSS ACTIV: MA50 (4,951.02) &gt; MA200 (4,068.49).
Cea mai importantă configurație bullish pe termen mediu-lung. Fondurile de pensii, ETF-urile și robo-advisors cumpără automat la Golden Cross. Trendul major este ascendent — scăderile sunt oportunități de cumpărare, nu semnale de panică.
PREȚ LA BANDA INFERIOARĂ Bollinger (4,554.6974).
Zonă de potențial suport tehnic. Statistic, 80% din oscilații rămân în interiorul benzilor. Posibilă revenire spre MA20 (mijlocul benzilor) în zilele imediat următoare.
Momentum 10 zile: -13.38% — PUTERNIC NEGATIV.
Activul a pierdut teren consistent în ultimele 2 săptămâni. Trendul pe termen scurt este bearish solid.
CONCLUZIE: Configurația tehnică este FAVORABILĂ CUMPĂRĂRII.
Momentul tehnic este bun. Riscul principal: o deteriorare bruscă a sentimentului global (VIX spike, știri macro negative) poate invalida setup-ul. Respectă strict stop loss-ul!</t>
        </is>
      </c>
    </row>
    <row r="823" ht="18" customHeight="1" s="113">
      <c r="A823" s="184" t="inlineStr">
        <is>
          <t xml:space="preserve">  OPORTUNITATE DE TRADING</t>
        </is>
      </c>
    </row>
    <row r="824" ht="211" customHeight="1" s="113">
      <c r="A824" s="185" t="inlineStr">
        <is>
          <t>OPORTUNITATE DE CUMPĂRARE — 4 confluențe tehnice aliniate.
Probabilitate estimată de succes: 80%
PARAMETRI TRANZACȚIE:
  Entry (intrare recomandata) :  4,410.3999
  Stop Loss (SL)             :  4,207.3534     ← risc 4.6% din pozitie
  Take Profit (TP)           :  4,816.4929     ← recompensa 9.2%
  Risk/Reward Ratio          :  2.00x   BUN ★★
  ATR (volatilitate zilnica) :  135.3643
RR de 2.0x este solid și profesionist.
Cu un win rate de 40% și un RR constant de 2x, sistemul este matematic profitabil pe termen lung. Nu ceda tentației de a muta TP-ul prea devreme.
BONUS CONFIRMARE: Volum excepțional (19.1x medie).
Volumul ridicat crește semnificativ credibilitatea semnalului. Mișcările cu volum mare sunt mult mai puțin susceptibile de a fi false. Acesta este un semnal de calitate superioară.</t>
        </is>
      </c>
    </row>
    <row r="825" ht="18" customHeight="1" s="113">
      <c r="A825" s="184" t="inlineStr">
        <is>
          <t xml:space="preserve">  PATTERN GRAFIC DETECTAT</t>
        </is>
      </c>
    </row>
    <row r="826" ht="263" customHeight="1" s="113">
      <c r="A826" s="185" t="inlineStr">
        <is>
          <t>PATTERN ACTIV: GOLDEN CROSS
MA50 (4,951.02) &gt; MA200 (4,068.49) cu 21.69%.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
PATTERN POSIBIL: SELLING CLIMAX
Scădere -3.5% + RSI 20.3 supravândut + Volum 19.1x.
CE ESTE:
Selling climax = momentul în care TOȚI cei care voiau să vândă AU VÂNDUT. Volumul mare la un minim + RSI extrem = potențial punct de inversare.
CUM ARATĂ PE GRAFIC:
Caută un candle cu FITIL LUNG în jos și ÎNCHIDERE APROAPE DE MAXIM. Acesta se numește 'Hammer' sau 'Pin Bar' și semnifică că bulls au preluat controlul în cursul zilei respective.
ATENȚIE: Nu este garantat. Confirmă cu volumul scăzut a doua zi (vânzătorii s-au epuizat) și un candle bullish ulterior.</t>
        </is>
      </c>
    </row>
    <row r="827" ht="18" customHeight="1" s="113">
      <c r="A827" s="184" t="inlineStr">
        <is>
          <t xml:space="preserve">  LECȚIA ZILEI</t>
        </is>
      </c>
    </row>
    <row r="828" ht="393" customHeight="1" s="113">
      <c r="A828" s="185" t="inlineStr">
        <is>
          <t xml:space="preserve">
─────────────────────────────────────────────LECȚIE — 'FALLING KNIFE': CUM NU TE RĂNEȘTI:
RSI sub 30 atrage mulți traderi cu gândul 'e ieftin, cumpăr acum'. Aceasta este CAPCANA clasică a prețului în scădere.
Regula: RSI sub 30 este o condiție NECESARĂ pentru un BUY, nu una SUFICIENTĂ. Ai nevoie de CONFIRMARE:
  1. Un candle bullish solid (Hammer, Pin Bar, Engulfing verde)
  2. MACD care formează un crossover bullish
  3. Un nivel clar de suport ținut (prețul respinge un nivel cheie)
  4. Volum scăzut pe continuarea scăderii (vânzătorii se epuizează)
Fără aceste confirmări, 'ieftin poate deveni și mai ieftin'.
LECȚIE — GOLDEN CROSS: ÎNTÂRZIERE VS. ANTICIPARE:
Golden Cross este real și puternic, dar are un defect major: este un indicator LAGGING (cu întârziere). Apare DUPĂ ce prețul a urcat deja 10-30%.
Strategia amatorilor: cumpără exact la Golden Cross (prea târziu).
Strategia profesioniștilor: anticipează Golden Cross-ul.
Cum anticipezi:
  1. MA200 încetinește scăderea (se aplatizează)
  2. MA50 oprește scăderea și inversează
  3. RSI revine din sub 30 → zona 40-50
  4. MACD formează un bullish crossover la zero line
  5. Volumul crește pe zilele UP
Dacă bifezi 4 din 5 și Golden Cross nu s-a format încă — ACELA este momentul optim de cumpărare.</t>
        </is>
      </c>
    </row>
    <row r="829" ht="6" customHeight="1" s="113">
      <c r="A829" s="186" t="n"/>
      <c r="B829" s="186" t="n"/>
      <c r="C829" s="186" t="n"/>
    </row>
    <row r="831" ht="24" customHeight="1" s="113">
      <c r="A831" s="187" t="inlineStr">
        <is>
          <t xml:space="preserve">  Silver   |   Preț: 69.3200   |   Zi: -0.06%   |   RSI: 26.1   |   Confluențe: 4/5   |   SEMNAL: BUY  </t>
        </is>
      </c>
    </row>
    <row r="832" ht="18" customHeight="1" s="113">
      <c r="A832" s="184" t="inlineStr">
        <is>
          <t xml:space="preserve">  DE CE S-A MIȘCAT ASTĂZI</t>
        </is>
      </c>
    </row>
    <row r="833" ht="315" customHeight="1" s="113">
      <c r="A833" s="185" t="inlineStr">
        <is>
          <t>Silver a scăzut ușor cu 0.06% astăzi (preț curent: 69.3200).
Pe săptămână: -12.84% | Pe lună: -20.74%.
VOLUM EXCEPȚIONAL: 12.5x față de media pe 20 de zile.
Mișcarea de astăzi este CONFIRMATĂ de participare instituțională. Volumul ridicat validează direcția — nu este o mișcare întâmplătoare. Fondurile, băncile și algos tranzacționează activ acest activ azi.
RSI = 26.1 — ZONĂ SUPRAVÂNDUT (sub 30).
Activul a scăzut prea rapid și există presiune acumulată de cumpărare. Istoric, RSI sub 30 semnalează că prețul este 'ieftin' față de media sa. Nu înseamnă revenire imediată — poate rămâne sub 30 zile sau săptămâni — dar crește semnificativ probabilitatea unui bounce (recuperare) în zilele imediat următoare.
MACD negativ (histogram: -1.8022).
Presiunea de vânzare domină pe termen scurt. Fii precaut cu pozițiile long în acest context.
GOLDEN CROSS ACTIV: MA50 (85.43) &gt; MA200 (56.45).
Cea mai importantă configurație bullish pe termen mediu-lung. Fondurile de pensii, ETF-urile și robo-advisors cumpără automat la Golden Cross. Trendul major este ascendent — scăderile sunt oportunități de cumpărare, nu semnale de panică.
PREȚ LA BANDA INFERIOARĂ Bollinger (69.1124).
Zonă de potențial suport tehnic. Statistic, 80% din oscilații rămân în interiorul benzilor. Posibilă revenire spre MA20 (mijlocul benzilor) în zilele imediat următoare.
Momentum 10 zile: -17.51% — PUTERNIC NEGATIV.
Activul a pierdut teren consistent în ultimele 2 săptămâni. Trendul pe termen scurt este bearish solid.
CONCLUZIE: Configurația tehnică este FAVORABILĂ CUMPĂRĂRII.
Momentul tehnic este bun. Riscul principal: o deteriorare bruscă a sentimentului global (VIX spike, știri macro negative) poate invalida setup-ul. Respectă strict stop loss-ul!</t>
        </is>
      </c>
    </row>
    <row r="834" ht="18" customHeight="1" s="113">
      <c r="A834" s="184" t="inlineStr">
        <is>
          <t xml:space="preserve">  OPORTUNITATE DE TRADING</t>
        </is>
      </c>
    </row>
    <row r="835" ht="211" customHeight="1" s="113">
      <c r="A835" s="185" t="inlineStr">
        <is>
          <t>OPORTUNITATE DE CUMPĂRARE — 4 confluențe tehnice aliniate.
Probabilitate estimată de succes: 80%
PARAMETRI TRANZACȚIE:
  Entry (intrare recomandata) :  69.3200
  Stop Loss (SL)             :  62.2218     ← risc 10.2% din pozitie
  Take Profit (TP)           :  83.5164     ← recompensa 20.5%
  Risk/Reward Ratio          :  2.00x   BUN ★★
  ATR (volatilitate zilnica) :  4.7321
RR de 2.0x este solid și profesionist.
Cu un win rate de 40% și un RR constant de 2x, sistemul este matematic profitabil pe termen lung. Nu ceda tentației de a muta TP-ul prea devreme.
BONUS CONFIRMARE: Volum excepțional (12.5x medie).
Volumul ridicat crește semnificativ credibilitatea semnalului. Mișcările cu volum mare sunt mult mai puțin susceptibile de a fi false. Acesta este un semnal de calitate superioară.</t>
        </is>
      </c>
    </row>
    <row r="836" ht="18" customHeight="1" s="113">
      <c r="A836" s="184" t="inlineStr">
        <is>
          <t xml:space="preserve">  PATTERN GRAFIC DETECTAT</t>
        </is>
      </c>
    </row>
    <row r="837" ht="120" customHeight="1" s="113">
      <c r="A837" s="185" t="inlineStr">
        <is>
          <t>PATTERN ACTIV: GOLDEN CROSS
MA50 (85.43) &gt; MA200 (56.45) cu 51.33%.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t>
        </is>
      </c>
    </row>
    <row r="838" ht="18" customHeight="1" s="113">
      <c r="A838" s="184" t="inlineStr">
        <is>
          <t xml:space="preserve">  LECȚIA ZILEI</t>
        </is>
      </c>
    </row>
    <row r="839" ht="393" customHeight="1" s="113">
      <c r="A839" s="185" t="inlineStr">
        <is>
          <t xml:space="preserve">
─────────────────────────────────────────────LECȚIE — 'FALLING KNIFE': CUM NU TE RĂNEȘTI:
RSI sub 30 atrage mulți traderi cu gândul 'e ieftin, cumpăr acum'. Aceasta este CAPCANA clasică a prețului în scădere.
Regula: RSI sub 30 este o condiție NECESARĂ pentru un BUY, nu una SUFICIENTĂ. Ai nevoie de CONFIRMARE:
  1. Un candle bullish solid (Hammer, Pin Bar, Engulfing verde)
  2. MACD care formează un crossover bullish
  3. Un nivel clar de suport ținut (prețul respinge un nivel cheie)
  4. Volum scăzut pe continuarea scăderii (vânzătorii se epuizează)
Fără aceste confirmări, 'ieftin poate deveni și mai ieftin'.
LECȚIE — GOLDEN CROSS: ÎNTÂRZIERE VS. ANTICIPARE:
Golden Cross este real și puternic, dar are un defect major: este un indicator LAGGING (cu întârziere). Apare DUPĂ ce prețul a urcat deja 10-30%.
Strategia amatorilor: cumpără exact la Golden Cross (prea târziu).
Strategia profesioniștilor: anticipează Golden Cross-ul.
Cum anticipezi:
  1. MA200 încetinește scăderea (se aplatizează)
  2. MA50 oprește scăderea și inversează
  3. RSI revine din sub 30 → zona 40-50
  4. MACD formează un bullish crossover la zero line
  5. Volumul crește pe zilele UP
Dacă bifezi 4 din 5 și Golden Cross nu s-a format încă — ACELA este momentul optim de cumpărare.</t>
        </is>
      </c>
    </row>
    <row r="840" ht="6" customHeight="1" s="113">
      <c r="A840" s="186" t="n"/>
      <c r="B840" s="186" t="n"/>
      <c r="C840" s="186" t="n"/>
    </row>
    <row r="842" ht="24" customHeight="1" s="113">
      <c r="A842" s="187" t="inlineStr">
        <is>
          <t xml:space="preserve">  Platinum   |   Preț: 1,874.4000   |   Zi: -4.88%   |   RSI: 37.8   |   Confluențe: 3/5   |   SEMNAL: BUY  </t>
        </is>
      </c>
    </row>
    <row r="843" ht="18" customHeight="1" s="113">
      <c r="A843" s="184" t="inlineStr">
        <is>
          <t xml:space="preserve">  DE CE S-A MIȘCAT ASTĂZI</t>
        </is>
      </c>
    </row>
    <row r="844" ht="315" customHeight="1" s="113">
      <c r="A844" s="185" t="inlineStr">
        <is>
          <t>Platinum a scăzut semnificativ cu 4.88% astăzi (preț curent: 1,874.4000).
Pe săptămână: -12.07% | Pe lună: -14.06%.
VOLUM EXCEPȚIONAL: 19.6x față de media pe 20 de zile.
Mișcarea de astăzi este CONFIRMATĂ de participare instituțională. Volumul ridicat validează direcția — nu este o mișcare întâmplătoare. Fondurile, băncile și algos tranzacționează activ acest activ azi.
RSI = 37.8 — Zonă slabă dar fără extremă.
Vânzătorii domină încă, dar presiunea începe să scadă. Urmărește o stabilizare a prețului și un candle bullish de confirmare înainte de a considera o intrare long.
MACD negativ (histogram: -27.5605).
Presiunea de vânzare domină pe termen scurt. Fii precaut cu pozițiile long în acest context.
GOLDEN CROSS ACTIV: MA50 (2,224.16) &gt; MA200 (1,710.11).
Cea mai importantă configurație bullish pe termen mediu-lung. Fondurile de pensii, ETF-urile și robo-advisors cumpără automat la Golden Cross. Trendul major este ascendent — scăderile sunt oportunități de cumpărare, nu semnale de panică.
PREȚ LA BANDA INFERIOARĂ Bollinger (1,885.8342).
Zonă de potențial suport tehnic. Statistic, 80% din oscilații rămân în interiorul benzilor. Posibilă revenire spre MA20 (mijlocul benzilor) în zilele imediat următoare.
Momentum 10 zile: -13.61% — PUTERNIC NEGATIV.
Activul a pierdut teren consistent în ultimele 2 săptămâni. Trendul pe termen scurt este bearish solid.
CONCLUZIE: Configurația tehnică este FAVORABILĂ CUMPĂRĂRII.
Momentul tehnic este bun. Riscul principal: o deteriorare bruscă a sentimentului global (VIX spike, știri macro negative) poate invalida setup-ul. Respectă strict stop loss-ul!</t>
        </is>
      </c>
    </row>
    <row r="845" ht="18" customHeight="1" s="113">
      <c r="A845" s="184" t="inlineStr">
        <is>
          <t xml:space="preserve">  OPORTUNITATE DE TRADING</t>
        </is>
      </c>
    </row>
    <row r="846" ht="211" customHeight="1" s="113">
      <c r="A846" s="185" t="inlineStr">
        <is>
          <t>OPORTUNITATE DE CUMPĂRARE — 3 confluențe tehnice aliniate.
Probabilitate estimată de succes: 70%
PARAMETRI TRANZACȚIE:
  Entry (intrare recomandata) :  1,874.4000
  Stop Loss (SL)             :  1,762.9393     ← risc 5.9% din pozitie
  Take Profit (TP)           :  2,097.3215     ← recompensa 11.9%
  Risk/Reward Ratio          :  2.00x   BUN ★★
  ATR (volatilitate zilnica) :  74.3071
RR de 2.0x este solid și profesionist.
Cu un win rate de 40% și un RR constant de 2x, sistemul este matematic profitabil pe termen lung. Nu ceda tentației de a muta TP-ul prea devreme.
BONUS CONFIRMARE: Volum excepțional (19.6x medie).
Volumul ridicat crește semnificativ credibilitatea semnalului. Mișcările cu volum mare sunt mult mai puțin susceptibile de a fi false. Acesta este un semnal de calitate superioară.</t>
        </is>
      </c>
    </row>
    <row r="847" ht="18" customHeight="1" s="113">
      <c r="A847" s="184" t="inlineStr">
        <is>
          <t xml:space="preserve">  PATTERN GRAFIC DETECTAT</t>
        </is>
      </c>
    </row>
    <row r="848" ht="120" customHeight="1" s="113">
      <c r="A848" s="185" t="inlineStr">
        <is>
          <t>PATTERN ACTIV: GOLDEN CROSS
MA50 (2,224.16) &gt; MA200 (1,710.11) cu 30.06%.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t>
        </is>
      </c>
    </row>
    <row r="849" ht="18" customHeight="1" s="113">
      <c r="A849" s="184" t="inlineStr">
        <is>
          <t xml:space="preserve">  LECȚIA ZILEI</t>
        </is>
      </c>
    </row>
    <row r="850" ht="393" customHeight="1" s="113">
      <c r="A850" s="185" t="inlineStr">
        <is>
          <t xml:space="preserve">
─────────────────────────────────────────────LECȚIE — GOLDEN CROSS: ÎNTÂRZIERE VS. ANTICIPARE:
Golden Cross este real și puternic, dar are un defect major: este un indicator LAGGING (cu întârziere). Apare DUPĂ ce prețul a urcat deja 10-30%.
Strategia amatorilor: cumpără exact la Golden Cross (prea târziu).
Strategia profesioniștilor: anticipează Golden Cross-ul.
Cum anticipezi:
  1. MA200 încetinește scăderea (se aplatizează)
  2. MA50 oprește scăderea și inversează
  3. RSI revine din sub 30 → zona 40-50
  4. MACD formează un bullish crossover la zero line
  5. Volumul crește pe zilele UP
Dacă bifezi 4 din 5 și Golden Cross nu s-a format încă — ACELA este momentul optim de cumpărare.
LECȚIE PSIHOLOGIE — EMOȚIILE ȘI PIERDEREA BANILOR:
Studiile arată că durerea unei pierderi de 100 lei este psihologic de 2x mai intensă decât bucuria unui câștig de 100 lei (Loss Aversion, Daniel Kahneman, Nobel 2002).
Cum afectează trading-ul:
  1. Ții pozițiile perdante prea mult ('o să revină')
  2. Vinzi pozițiile câștigătoare prea repede (frică să nu pierzi profitul)
  3. Dublezi pe pierdere pentru a 'recupera' (averaging down neselectiv)
  4. Faci revenge trading după o pierdere (emoție, nu analiză)
Soluția: PLAN SCRIS înainte de intrare. Entry, SL, TP, sizing — scrise pe hârtie sau în jurnal ÎNAINTE de a deschide poziția. Odată în poziție, lăsă planul să lucreze, nu emoțiile.</t>
        </is>
      </c>
    </row>
    <row r="851" ht="6" customHeight="1" s="113">
      <c r="A851" s="186" t="n"/>
      <c r="B851" s="186" t="n"/>
      <c r="C851" s="186" t="n"/>
    </row>
    <row r="853" ht="24" customHeight="1" s="113">
      <c r="A853" s="187" t="inlineStr">
        <is>
          <t xml:space="preserve">  Palladium   |   Preț: 1,439.0000   |   Zi: +1.00%   |   RSI: 30.7   |   Confluențe: 4/5   |   SEMNAL: BUY  </t>
        </is>
      </c>
    </row>
    <row r="854" ht="18" customHeight="1" s="113">
      <c r="A854" s="184" t="inlineStr">
        <is>
          <t xml:space="preserve">  DE CE S-A MIȘCAT ASTĂZI</t>
        </is>
      </c>
    </row>
    <row r="855" ht="302" customHeight="1" s="113">
      <c r="A855" s="185" t="inlineStr">
        <is>
          <t>Palladium a crescut ușor cu 1.00% astăzi (preț curent: 1,439.0000).
Pe săptămână: -10.84% | Pe lună: -20.65%.
VOLUM EXCEPȚIONAL: 12.4x față de media pe 20 de zile.
Mișcarea de astăzi este CONFIRMATĂ de participare instituțională. Volumul ridicat validează direcția — nu este o mișcare întâmplătoare. Fondurile, băncile și algos tranzacționează activ acest activ azi.
RSI = 30.7 — Zonă slabă dar fără extremă.
Vânzătorii domină încă, dar presiunea începe să scadă. Urmărește o stabilizare a prețului și un candle bullish de confirmare înainte de a considera o intrare long.
MACD negativ (histogram: -21.5554).
Presiunea de vânzare domină pe termen scurt. Fii precaut cu pozițiile long în acest context.
GOLDEN CROSS ACTIV: MA50 (1,741.78) &gt; MA200 (1,428.07).
Cea mai importantă configurație bullish pe termen mediu-lung. Fondurile de pensii, ETF-urile și robo-advisors cumpără automat la Golden Cross. Trendul major este ascendent — scăderile sunt oportunități de cumpărare, nu semnale de panică.
Prețul în interiorul Bollinger (1,391.9615 — 1,873.1385). Nicio extremă pentru moment, volatilitate normală.
Momentum 10 zile: -13.43% — PUTERNIC NEGATIV.
Activul a pierdut teren consistent în ultimele 2 săptămâni. Trendul pe termen scurt este bearish solid.
CONCLUZIE: Configurația tehnică este FAVORABILĂ CUMPĂRĂRII.
Momentul tehnic este bun. Riscul principal: o deteriorare bruscă a sentimentului global (VIX spike, știri macro negative) poate invalida setup-ul. Respectă strict stop loss-ul!</t>
        </is>
      </c>
    </row>
    <row r="856" ht="18" customHeight="1" s="113">
      <c r="A856" s="184" t="inlineStr">
        <is>
          <t xml:space="preserve">  OPORTUNITATE DE TRADING</t>
        </is>
      </c>
    </row>
    <row r="857" ht="211" customHeight="1" s="113">
      <c r="A857" s="185" t="inlineStr">
        <is>
          <t>OPORTUNITATE DE CUMPĂRARE — 4 confluențe tehnice aliniate.
Probabilitate estimată de succes: 80%
PARAMETRI TRANZACȚIE:
  Entry (intrare recomandata) :  1,439.0000
  Stop Loss (SL)             :  1,356.6607     ← risc 5.7% din pozitie
  Take Profit (TP)           :  1,603.6786     ← recompensa 11.4%
  Risk/Reward Ratio          :  2.00x   BUN ★★
  ATR (volatilitate zilnica) :  54.8929
RR de 2.0x este solid și profesionist.
Cu un win rate de 40% și un RR constant de 2x, sistemul este matematic profitabil pe termen lung. Nu ceda tentației de a muta TP-ul prea devreme.
BONUS CONFIRMARE: Volum excepțional (12.4x medie).
Volumul ridicat crește semnificativ credibilitatea semnalului. Mișcările cu volum mare sunt mult mai puțin susceptibile de a fi false. Acesta este un semnal de calitate superioară.</t>
        </is>
      </c>
    </row>
    <row r="858" ht="18" customHeight="1" s="113">
      <c r="A858" s="184" t="inlineStr">
        <is>
          <t xml:space="preserve">  PATTERN GRAFIC DETECTAT</t>
        </is>
      </c>
    </row>
    <row r="859" ht="120" customHeight="1" s="113">
      <c r="A859" s="185" t="inlineStr">
        <is>
          <t>PATTERN ACTIV: GOLDEN CROSS
MA50 (1,741.78) &gt; MA200 (1,428.07) cu 21.97%.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t>
        </is>
      </c>
    </row>
    <row r="860" ht="18" customHeight="1" s="113">
      <c r="A860" s="184" t="inlineStr">
        <is>
          <t xml:space="preserve">  LECȚIA ZILEI</t>
        </is>
      </c>
    </row>
    <row r="861" ht="393" customHeight="1" s="113">
      <c r="A861" s="185" t="inlineStr">
        <is>
          <t xml:space="preserve">
─────────────────────────────────────────────LECȚIE — GOLDEN CROSS: ÎNTÂRZIERE VS. ANTICIPARE:
Golden Cross este real și puternic, dar are un defect major: este un indicator LAGGING (cu întârziere). Apare DUPĂ ce prețul a urcat deja 10-30%.
Strategia amatorilor: cumpără exact la Golden Cross (prea târziu).
Strategia profesioniștilor: anticipează Golden Cross-ul.
Cum anticipezi:
  1. MA200 încetinește scăderea (se aplatizează)
  2. MA50 oprește scăderea și inversează
  3. RSI revine din sub 30 → zona 40-50
  4. MACD formează un bullish crossover la zero line
  5. Volumul crește pe zilele UP
Dacă bifezi 4 din 5 și Golden Cross nu s-a format încă — ACELA este momentul optim de cumpărare.
LECȚIE PSIHOLOGIE — EMOȚIILE ȘI PIERDEREA BANILOR:
Studiile arată că durerea unei pierderi de 100 lei este psihologic de 2x mai intensă decât bucuria unui câștig de 100 lei (Loss Aversion, Daniel Kahneman, Nobel 2002).
Cum afectează trading-ul:
  1. Ții pozițiile perdante prea mult ('o să revină')
  2. Vinzi pozițiile câștigătoare prea repede (frică să nu pierzi profitul)
  3. Dublezi pe pierdere pentru a 'recupera' (averaging down neselectiv)
  4. Faci revenge trading după o pierdere (emoție, nu analiză)
Soluția: PLAN SCRIS înainte de intrare. Entry, SL, TP, sizing — scrise pe hârtie sau în jurnal ÎNAINTE de a deschide poziția. Odată în poziție, lăsă planul să lucreze, nu emoțiile.</t>
        </is>
      </c>
    </row>
    <row r="862" ht="6" customHeight="1" s="113">
      <c r="A862" s="186" t="n"/>
      <c r="B862" s="186" t="n"/>
      <c r="C862" s="186" t="n"/>
    </row>
    <row r="864" ht="24" customHeight="1" s="113">
      <c r="A864" s="187" t="inlineStr">
        <is>
          <t xml:space="preserve">  Oil WTI   |   Preț: 88.8700   |   Zi: -9.61%   |   RSI: 60.7   |   Confluențe: 3/5   |   SEMNAL: BUY  </t>
        </is>
      </c>
    </row>
    <row r="865" ht="18" customHeight="1" s="113">
      <c r="A865" s="184" t="inlineStr">
        <is>
          <t xml:space="preserve">  DE CE S-A MIȘCAT ASTĂZI</t>
        </is>
      </c>
    </row>
    <row r="866" ht="289" customHeight="1" s="113">
      <c r="A866" s="185" t="inlineStr">
        <is>
          <t>Oil WTI a scăzut semnificativ cu 9.61% astăzi (preț curent: 88.8700).
Pe săptămână: -7.63% | Pe lună: +35.41%.
Volum în linie cu media (1.1x) — nicio anomalie de participare.
RSI = 60.7 — Momentum POZITIV.
Cumpărătorii au controlul, dar activul nu este încă supraevaluat. Zona 55-70 este adesea CEA MAI PROFITABILĂ pentru trend-following. Trendul bullish se menține solid.
MACD pozitiv și crescător (histogram: +0.1340).
Momentumul bullish se menține, fără un crossover proaspăt. Trendul continuă dar fără accelerare nouă.
GOLDEN CROSS ACTIV: MA50 (71.32) &gt; MA200 (64.78).
Cea mai importantă configurație bullish pe termen mediu-lung. Fondurile de pensii, ETF-urile și robo-advisors cumpără automat la Golden Cross. Trendul major este ascendent — scăderile sunt oportunități de cumpărare, nu semnale de panică.
Prețul în interiorul Bollinger (59.2531 — 109.2379). Nicio extremă pentru moment, volatilitate normală.
Momentum 10 zile: -6.23% — PUTERNIC NEGATIV.
Activul a pierdut teren consistent în ultimele 2 săptămâni. Trendul pe termen scurt este bearish solid.
CONCLUZIE: Configurația tehnică este FAVORABILĂ CUMPĂRĂRII.
Momentul tehnic este bun. Riscul principal: o deteriorare bruscă a sentimentului global (VIX spike, știri macro negative) poate invalida setup-ul. Respectă strict stop loss-ul!</t>
        </is>
      </c>
    </row>
    <row r="867" ht="18" customHeight="1" s="113">
      <c r="A867" s="184" t="inlineStr">
        <is>
          <t xml:space="preserve">  OPORTUNITATE DE TRADING</t>
        </is>
      </c>
    </row>
    <row r="868" ht="172" customHeight="1" s="113">
      <c r="A868" s="185" t="inlineStr">
        <is>
          <t>OPORTUNITATE DE CUMPĂRARE — 3 confluențe tehnice aliniate.
Probabilitate estimată de succes: 65%
PARAMETRI TRANZACȚIE:
  Entry (intrare recomandata) :  88.8700
  Stop Loss (SL)             :  71.5321     ← risc 19.5% din pozitie
  Take Profit (TP)           :  123.5457     ← recompensa 39.0%
  Risk/Reward Ratio          :  2.00x   BUN ★★
  ATR (volatilitate zilnica) :  11.5586
RR de 2.0x este solid și profesionist.
Cu un win rate de 40% și un RR constant de 2x, sistemul este matematic profitabil pe termen lung. Nu ceda tentației de a muta TP-ul prea devreme.</t>
        </is>
      </c>
    </row>
    <row r="869" ht="18" customHeight="1" s="113">
      <c r="A869" s="184" t="inlineStr">
        <is>
          <t xml:space="preserve">  PATTERN GRAFIC DETECTAT</t>
        </is>
      </c>
    </row>
    <row r="870" ht="120" customHeight="1" s="113">
      <c r="A870" s="185" t="inlineStr">
        <is>
          <t>PATTERN ACTIV: GOLDEN CROSS
MA50 (71.32) &gt; MA200 (64.78) cu 10.10%.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t>
        </is>
      </c>
    </row>
    <row r="871" ht="18" customHeight="1" s="113">
      <c r="A871" s="184" t="inlineStr">
        <is>
          <t xml:space="preserve">  LECȚIA ZILEI</t>
        </is>
      </c>
    </row>
    <row r="872" ht="393" customHeight="1" s="113">
      <c r="A872" s="185" t="inlineStr">
        <is>
          <t xml:space="preserve">
─────────────────────────────────────────────LECȚIE — GOLDEN CROSS: ÎNTÂRZIERE VS. ANTICIPARE:
Golden Cross este real și puternic, dar are un defect major: este un indicator LAGGING (cu întârziere). Apare DUPĂ ce prețul a urcat deja 10-30%.
Strategia amatorilor: cumpără exact la Golden Cross (prea târziu).
Strategia profesioniștilor: anticipează Golden Cross-ul.
Cum anticipezi:
  1. MA200 încetinește scăderea (se aplatizează)
  2. MA50 oprește scăderea și inversează
  3. RSI revine din sub 30 → zona 40-50
  4. MACD formează un bullish crossover la zero line
  5. Volumul crește pe zilele UP
Dacă bifezi 4 din 5 și Golden Cross nu s-a format încă — ACELA este momentul optim de cumpărare.
LECȚIE PSIHOLOGIE — EMOȚIILE ȘI PIERDEREA BANILOR:
Studiile arată că durerea unei pierderi de 100 lei este psihologic de 2x mai intensă decât bucuria unui câștig de 100 lei (Loss Aversion, Daniel Kahneman, Nobel 2002).
Cum afectează trading-ul:
  1. Ții pozițiile perdante prea mult ('o să revină')
  2. Vinzi pozițiile câștigătoare prea repede (frică să nu pierzi profitul)
  3. Dublezi pe pierdere pentru a 'recupera' (averaging down neselectiv)
  4. Faci revenge trading după o pierdere (emoție, nu analiză)
Soluția: PLAN SCRIS înainte de intrare. Entry, SL, TP, sizing — scrise pe hârtie sau în jurnal ÎNAINTE de a deschide poziția. Odată în poziție, lăsă planul să lucreze, nu emoțiile.</t>
        </is>
      </c>
    </row>
    <row r="873" ht="6" customHeight="1" s="113">
      <c r="A873" s="186" t="n"/>
      <c r="B873" s="186" t="n"/>
      <c r="C873" s="186" t="n"/>
    </row>
    <row r="875" ht="24" customHeight="1" s="113">
      <c r="A875" s="187" t="inlineStr">
        <is>
          <t xml:space="preserve">  Oil Brent   |   Preț: 100.4900   |   Zi: -10.43%   |   RSI: 63.5   |   Confluențe: 3/5   |   SEMNAL: BUY  </t>
        </is>
      </c>
    </row>
    <row r="876" ht="18" customHeight="1" s="113">
      <c r="A876" s="184" t="inlineStr">
        <is>
          <t xml:space="preserve">  DE CE S-A MIȘCAT ASTĂZI</t>
        </is>
      </c>
    </row>
    <row r="877" ht="250" customHeight="1" s="113">
      <c r="A877" s="185" t="inlineStr">
        <is>
          <t>Oil Brent a scăzut semnificativ cu 10.43% astăzi (preț curent: 100.4900).
Pe săptămână: -2.83% | Pe lună: +42.00%.
Volum în linie cu media (0.9x) — nicio anomalie de participare.
RSI = 63.5 — Momentum POZITIV.
Cumpărătorii au controlul, dar activul nu este încă supraevaluat. Zona 55-70 este adesea CEA MAI PROFITABILĂ pentru trend-following. Trendul bullish se menține solid.
MACD pozitiv și crescător (histogram: +1.0192).
Momentumul bullish se menține, fără un crossover proaspăt. Trendul continuă dar fără accelerare nouă.
GOLDEN CROSS ACTIV: MA50 (76.84) &gt; MA200 (68.71).
Cea mai importantă configurație bullish pe termen mediu-lung. Fondurile de pensii, ETF-urile și robo-advisors cumpără automat la Golden Cross. Trendul major este ascendent — scăderile sunt oportunități de cumpărare, nu semnale de panică.
Prețul în interiorul Bollinger (63.2572 — 118.5598). Nicio extremă pentru moment, volatilitate normală.
CONCLUZIE: Configurația tehnică este FAVORABILĂ CUMPĂRĂRII.
Momentul tehnic este bun. Riscul principal: o deteriorare bruscă a sentimentului global (VIX spike, știri macro negative) poate invalida setup-ul. Respectă strict stop loss-ul!</t>
        </is>
      </c>
    </row>
    <row r="878" ht="18" customHeight="1" s="113">
      <c r="A878" s="184" t="inlineStr">
        <is>
          <t xml:space="preserve">  OPORTUNITATE DE TRADING</t>
        </is>
      </c>
    </row>
    <row r="879" ht="172" customHeight="1" s="113">
      <c r="A879" s="185" t="inlineStr">
        <is>
          <t>OPORTUNITATE DE CUMPĂRARE — 3 confluențe tehnice aliniate.
Probabilitate estimată de succes: 65%
PARAMETRI TRANZACȚIE:
  Entry (intrare recomandata) :  100.4900
  Stop Loss (SL)             :  82.9571     ← risc 17.4% din pozitie
  Take Profit (TP)           :  135.5557     ← recompensa 34.9%
  Risk/Reward Ratio          :  2.00x   BUN ★★
  ATR (volatilitate zilnica) :  11.6886
RR de 2.0x este solid și profesionist.
Cu un win rate de 40% și un RR constant de 2x, sistemul este matematic profitabil pe termen lung. Nu ceda tentației de a muta TP-ul prea devreme.</t>
        </is>
      </c>
    </row>
    <row r="880" ht="18" customHeight="1" s="113">
      <c r="A880" s="184" t="inlineStr">
        <is>
          <t xml:space="preserve">  PATTERN GRAFIC DETECTAT</t>
        </is>
      </c>
    </row>
    <row r="881" ht="120" customHeight="1" s="113">
      <c r="A881" s="185" t="inlineStr">
        <is>
          <t>PATTERN ACTIV: GOLDEN CROSS
MA50 (76.84) &gt; MA200 (68.71) cu 11.84%.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t>
        </is>
      </c>
    </row>
    <row r="882" ht="18" customHeight="1" s="113">
      <c r="A882" s="184" t="inlineStr">
        <is>
          <t xml:space="preserve">  LECȚIA ZILEI</t>
        </is>
      </c>
    </row>
    <row r="883" ht="393" customHeight="1" s="113">
      <c r="A883" s="185" t="inlineStr">
        <is>
          <t xml:space="preserve">
─────────────────────────────────────────────LECȚIE — GOLDEN CROSS: ÎNTÂRZIERE VS. ANTICIPARE:
Golden Cross este real și puternic, dar are un defect major: este un indicator LAGGING (cu întârziere). Apare DUPĂ ce prețul a urcat deja 10-30%.
Strategia amatorilor: cumpără exact la Golden Cross (prea târziu).
Strategia profesioniștilor: anticipează Golden Cross-ul.
Cum anticipezi:
  1. MA200 încetinește scăderea (se aplatizează)
  2. MA50 oprește scăderea și inversează
  3. RSI revine din sub 30 → zona 40-50
  4. MACD formează un bullish crossover la zero line
  5. Volumul crește pe zilele UP
Dacă bifezi 4 din 5 și Golden Cross nu s-a format încă — ACELA este momentul optim de cumpărare.
LECȚIE PSIHOLOGIE — EMOȚIILE ȘI PIERDEREA BANILOR:
Studiile arată că durerea unei pierderi de 100 lei este psihologic de 2x mai intensă decât bucuria unui câștig de 100 lei (Loss Aversion, Daniel Kahneman, Nobel 2002).
Cum afectează trading-ul:
  1. Ții pozițiile perdante prea mult ('o să revină')
  2. Vinzi pozițiile câștigătoare prea repede (frică să nu pierzi profitul)
  3. Dublezi pe pierdere pentru a 'recupera' (averaging down neselectiv)
  4. Faci revenge trading după o pierdere (emoție, nu analiză)
Soluția: PLAN SCRIS înainte de intrare. Entry, SL, TP, sizing — scrise pe hârtie sau în jurnal ÎNAINTE de a deschide poziția. Odată în poziție, lăsă planul să lucreze, nu emoțiile.</t>
        </is>
      </c>
    </row>
    <row r="884" ht="6" customHeight="1" s="113">
      <c r="A884" s="186" t="n"/>
      <c r="B884" s="186" t="n"/>
      <c r="C884" s="186" t="n"/>
    </row>
    <row r="886" ht="24" customHeight="1" s="113">
      <c r="A886" s="183" t="inlineStr">
        <is>
          <t xml:space="preserve">  Natural Gas   |   Preț: 2.8960   |   Zi: -6.43%   |   RSI: 44.4   |   Confluențe: 0/5   |   SEMNAL: WAIT  </t>
        </is>
      </c>
    </row>
    <row r="887" ht="18" customHeight="1" s="113">
      <c r="A887" s="184" t="inlineStr">
        <is>
          <t xml:space="preserve">  DE CE S-A MIȘCAT ASTĂZI</t>
        </is>
      </c>
    </row>
    <row r="888" ht="328" customHeight="1" s="113">
      <c r="A888" s="185" t="inlineStr">
        <is>
          <t>Natural Gas a scăzut semnificativ cu 6.43% astăzi (preț curent: 2.8960).
Pe săptămână: -4.52% | Pe lună: -0.65%.
Volum în linie cu media (0.9x) — nicio anomalie de participare.
RSI = 44.4 — Zonă NEUTRĂ.
Echilibru între cumpărători și vânzători. Piața caută direcție. Evita pozițiile mari până la o confirmare clară de trend.
MACD pozitiv și crescător (histogram: +0.0293).
Momentumul bullish se menține, fără un crossover proaspăt. Trendul continuă dar fără accelerare nouă.
DEATH CROSS ACTIV: MA50 (3.53) &lt; MA200 (3.55).
Semnal bearish major pe termen mediu-lung. Mulți investitori instituționali reduc expunerea automat la Death Cross. Creșterile temporare pot fi oportunități de vânzare (short) sau ieșire din poziții long.
Prețul în interiorul Bollinger (2.7983 — 3.2698). Nicio extremă pentru moment, volatilitate normală.
Stochastic %K = 5.5 — OVERSOLD (sub 20).
Presiune de vânzare excesivă pe termen scurt. Când %K depășește %D din jos în sus sub nivelul 20, este un semnal clasic de cumpărare pe termen scurt.
Momentum 10 zile: -7.18% — PUTERNIC NEGATIV.
Activul a pierdut teren consistent în ultimele 2 săptămâni. Trendul pe termen scurt este bearish solid.
CONCLUZIE: Semnalele sunt MIXTE — AȘTEPTARE recomandată.
Nu forța o tranzacție când piața nu are direcție clară. Cel mai bun trade uneori este să nu tranzacționezi.</t>
        </is>
      </c>
    </row>
    <row r="889" ht="18" customHeight="1" s="113">
      <c r="A889" s="184" t="inlineStr">
        <is>
          <t xml:space="preserve">  OPORTUNITATE DE TRADING</t>
        </is>
      </c>
    </row>
    <row r="890" ht="133" customHeight="1" s="113">
      <c r="A890" s="185" t="inlineStr">
        <is>
          <t>NU EXISTĂ OPORTUNITATE CLARĂ în acest moment.
Confluențe tehnice: 0/5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891" ht="18" customHeight="1" s="113">
      <c r="A891" s="184" t="inlineStr">
        <is>
          <t xml:space="preserve">  PATTERN GRAFIC DETECTAT</t>
        </is>
      </c>
    </row>
    <row r="892" ht="120" customHeight="1" s="113">
      <c r="A892" s="185" t="inlineStr">
        <is>
          <t>PATTERN ACTIV: DEATH CROSS
MA50 (3.53) &lt; MA200 (3.55) cu 0.64%.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t>
        </is>
      </c>
    </row>
    <row r="893" ht="18" customHeight="1" s="113">
      <c r="A893" s="184" t="inlineStr">
        <is>
          <t xml:space="preserve">  LECȚIA ZILEI</t>
        </is>
      </c>
    </row>
    <row r="894" ht="289" customHeight="1" s="113">
      <c r="A894" s="185" t="inlineStr">
        <is>
          <t xml:space="preserve">
─────────────────────────────────────────────LECȚIE — PUTEREA 'NU TRANZACȚIONEZ' :
Una dintre cele mai greu de aplicat lecții în trading este să nu faci nimic. Mulți traderi simt nevoia permanentă de a fi 'în piață'. Realitatea: marii profesioniști stau în cash sau neutral 60-70% din timp și atacă DOAR când setup-ul este perfect.
Jack Schwager, în cartea 'Market Wizards', a intervievat cei mai buni traderi din lume. Toți aveau în comun un lucru: SELECTIVITATE EXTREMĂ. Nu numărul de tranzacții te îmbogățește, ci CALITATEA lor.
Aplicare practică: stabilește-ți un checklist cu 5 condiții. Intri DOAR dacă toate 5 sunt bifate. Astăzi acest activ nu le bifează.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t>
        </is>
      </c>
    </row>
    <row r="895" ht="6" customHeight="1" s="113">
      <c r="A895" s="186" t="n"/>
      <c r="B895" s="186" t="n"/>
      <c r="C895" s="186" t="n"/>
    </row>
    <row r="897" ht="24" customHeight="1" s="113">
      <c r="A897" s="187" t="inlineStr">
        <is>
          <t xml:space="preserve">  Copper   |   Preț: 5.4865   |   Zi: +2.70%   |   RSI: 38.0   |   Confluențe: 3/5   |   SEMNAL: BUY  </t>
        </is>
      </c>
    </row>
    <row r="898" ht="18" customHeight="1" s="113">
      <c r="A898" s="184" t="inlineStr">
        <is>
          <t xml:space="preserve">  DE CE S-A MIȘCAT ASTĂZI</t>
        </is>
      </c>
    </row>
    <row r="899" ht="302" customHeight="1" s="113">
      <c r="A899" s="185" t="inlineStr">
        <is>
          <t>Copper a crescut moderat cu 2.70% astăzi (preț curent: 5.4865).
Pe săptămână: -4.19% | Pe lună: -7.37%.
VOLUM EXCEPȚIONAL: 12.1x față de media pe 20 de zile.
Mișcarea de astăzi este CONFIRMATĂ de participare instituțională. Volumul ridicat validează direcția — nu este o mișcare întâmplătoare. Fondurile, băncile și algos tranzacționează activ acest activ azi.
RSI = 38.0 — Zonă slabă dar fără extremă.
Vânzătorii domină încă, dar presiunea începe să scadă. Urmărește o stabilizare a prețului și un candle bullish de confirmare înainte de a considera o intrare long.
MACD negativ (histogram: -0.0480).
Presiunea de vânzare domină pe termen scurt. Fii precaut cu pozițiile long în acest context.
GOLDEN CROSS ACTIV: MA50 (5.83) &gt; MA200 (5.22).
Cea mai importantă configurație bullish pe termen mediu-lung. Fondurile de pensii, ETF-urile și robo-advisors cumpără automat la Golden Cross. Trendul major este ascendent — scăderile sunt oportunități de cumpărare, nu semnale de panică.
Prețul în interiorul Bollinger (5.4005 — 6.1304). Nicio extremă pentru moment, volatilitate normală.
Momentum 10 zile: -5.41% — PUTERNIC NEGATIV.
Activul a pierdut teren consistent în ultimele 2 săptămâni. Trendul pe termen scurt este bearish solid.
CONCLUZIE: Configurația tehnică este FAVORABILĂ CUMPĂRĂRII.
Momentul tehnic este bun. Riscul principal: o deteriorare bruscă a sentimentului global (VIX spike, știri macro negative) poate invalida setup-ul. Respectă strict stop loss-ul!</t>
        </is>
      </c>
    </row>
    <row r="900" ht="18" customHeight="1" s="113">
      <c r="A900" s="184" t="inlineStr">
        <is>
          <t xml:space="preserve">  OPORTUNITATE DE TRADING</t>
        </is>
      </c>
    </row>
    <row r="901" ht="211" customHeight="1" s="113">
      <c r="A901" s="185" t="inlineStr">
        <is>
          <t>OPORTUNITATE DE CUMPĂRARE — 3 confluențe tehnice aliniate.
Probabilitate estimată de succes: 70%
PARAMETRI TRANZACȚIE:
  Entry (intrare recomandata) :  5.4865
  Stop Loss (SL)             :  5.2268     ← risc 4.7% din pozitie
  Take Profit (TP)           :  6.0058     ← recompensa 9.5%
  Risk/Reward Ratio          :  2.00x   BUN ★★
  ATR (volatilitate zilnica) :  0.1731
RR de 2.0x este solid și profesionist.
Cu un win rate de 40% și un RR constant de 2x, sistemul este matematic profitabil pe termen lung. Nu ceda tentației de a muta TP-ul prea devreme.
BONUS CONFIRMARE: Volum excepțional (12.1x medie).
Volumul ridicat crește semnificativ credibilitatea semnalului. Mișcările cu volum mare sunt mult mai puțin susceptibile de a fi false. Acesta este un semnal de calitate superioară.</t>
        </is>
      </c>
    </row>
    <row r="902" ht="18" customHeight="1" s="113">
      <c r="A902" s="184" t="inlineStr">
        <is>
          <t xml:space="preserve">  PATTERN GRAFIC DETECTAT</t>
        </is>
      </c>
    </row>
    <row r="903" ht="120" customHeight="1" s="113">
      <c r="A903" s="185" t="inlineStr">
        <is>
          <t>PATTERN ACTIV: GOLDEN CROSS
MA50 (5.83) &gt; MA200 (5.22) cu 11.70%.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t>
        </is>
      </c>
    </row>
    <row r="904" ht="18" customHeight="1" s="113">
      <c r="A904" s="184" t="inlineStr">
        <is>
          <t xml:space="preserve">  LECȚIA ZILEI</t>
        </is>
      </c>
    </row>
    <row r="905" ht="393" customHeight="1" s="113">
      <c r="A905" s="185" t="inlineStr">
        <is>
          <t xml:space="preserve">
─────────────────────────────────────────────LECȚIE — GOLDEN CROSS: ÎNTÂRZIERE VS. ANTICIPARE:
Golden Cross este real și puternic, dar are un defect major: este un indicator LAGGING (cu întârziere). Apare DUPĂ ce prețul a urcat deja 10-30%.
Strategia amatorilor: cumpără exact la Golden Cross (prea târziu).
Strategia profesioniștilor: anticipează Golden Cross-ul.
Cum anticipezi:
  1. MA200 încetinește scăderea (se aplatizează)
  2. MA50 oprește scăderea și inversează
  3. RSI revine din sub 30 → zona 40-50
  4. MACD formează un bullish crossover la zero line
  5. Volumul crește pe zilele UP
Dacă bifezi 4 din 5 și Golden Cross nu s-a format încă — ACELA este momentul optim de cumpărare.
LECȚIE PSIHOLOGIE — EMOȚIILE ȘI PIERDEREA BANILOR:
Studiile arată că durerea unei pierderi de 100 lei este psihologic de 2x mai intensă decât bucuria unui câștig de 100 lei (Loss Aversion, Daniel Kahneman, Nobel 2002).
Cum afectează trading-ul:
  1. Ții pozițiile perdante prea mult ('o să revină')
  2. Vinzi pozițiile câștigătoare prea repede (frică să nu pierzi profitul)
  3. Dublezi pe pierdere pentru a 'recupera' (averaging down neselectiv)
  4. Faci revenge trading după o pierdere (emoție, nu analiză)
Soluția: PLAN SCRIS înainte de intrare. Entry, SL, TP, sizing — scrise pe hârtie sau în jurnal ÎNAINTE de a deschide poziția. Odată în poziție, lăsă planul să lucreze, nu emoțiile.</t>
        </is>
      </c>
    </row>
    <row r="906" ht="6" customHeight="1" s="113">
      <c r="A906" s="186" t="n"/>
      <c r="B906" s="186" t="n"/>
      <c r="C906" s="186" t="n"/>
    </row>
    <row r="908" ht="24" customHeight="1" s="113">
      <c r="A908" s="187" t="inlineStr">
        <is>
          <t xml:space="preserve">  Corn   |   Preț: 460.5000   |   Zi: -1.07%   |   RSI: 68.4   |   Confluențe: 3/5   |   SEMNAL: BUY  </t>
        </is>
      </c>
    </row>
    <row r="909" ht="18" customHeight="1" s="113">
      <c r="A909" s="184" t="inlineStr">
        <is>
          <t xml:space="preserve">  DE CE S-A MIȘCAT ASTĂZI</t>
        </is>
      </c>
    </row>
    <row r="910" ht="302" customHeight="1" s="113">
      <c r="A910" s="185" t="inlineStr">
        <is>
          <t>Corn a scăzut moderat cu 1.07% astăzi (preț curent: 460.5000).
Pe săptămână: +1.43% | Pe lună: +7.66%.
VOLUM EXCEPȚIONAL: 2.4x față de media pe 20 de zile.
Mișcarea de astăzi este CONFIRMATĂ de participare instituțională. Volumul ridicat validează direcția — nu este o mișcare întâmplătoare. Fondurile, băncile și algos tranzacționează activ acest activ azi.
RSI = 68.4 — Momentum POZITIV.
Cumpărătorii au controlul, dar activul nu este încă supraevaluat. Zona 55-70 este adesea CEA MAI PROFITABILĂ pentru trend-following. Trendul bullish se menține solid.
MACD pozitiv și crescător (histogram: +2.2821).
Momentumul bullish se menține, fără un crossover proaspăt. Trendul continuă dar fără accelerare nouă.
GOLDEN CROSS ACTIV: MA50 (434.65) &gt; MA200 (422.51).
Cea mai importantă configurație bullish pe termen mediu-lung. Fondurile de pensii, ETF-urile și robo-advisors cumpără automat la Golden Cross. Trendul major este ascendent — scăderile sunt oportunități de cumpărare, nu semnale de panică.
Prețul în interiorul Bollinger (419.6492 — 470.7258). Nicio extremă pentru moment, volatilitate normală.
Momentum 10 zile: +5.26% — PUTERNIC POZITIV.
Activul a acumulat câștiguri consistente în ultimele 2 săptămâni. Trendul pe termen scurt este bullish solid.
CONCLUZIE: Configurația tehnică este FAVORABILĂ CUMPĂRĂRII.
Momentul tehnic este bun. Riscul principal: o deteriorare bruscă a sentimentului global (VIX spike, știri macro negative) poate invalida setup-ul. Respectă strict stop loss-ul!</t>
        </is>
      </c>
    </row>
    <row r="911" ht="18" customHeight="1" s="113">
      <c r="A911" s="184" t="inlineStr">
        <is>
          <t xml:space="preserve">  OPORTUNITATE DE TRADING</t>
        </is>
      </c>
    </row>
    <row r="912" ht="211" customHeight="1" s="113">
      <c r="A912" s="185" t="inlineStr">
        <is>
          <t>OPORTUNITATE DE CUMPĂRARE — 3 confluențe tehnice aliniate.
Probabilitate estimată de succes: 70%
PARAMETRI TRANZACȚIE:
  Entry (intrare recomandata) :  460.5000
  Stop Loss (SL)             :  444.8571     ← risc 3.4% din pozitie
  Take Profit (TP)           :  491.7857     ← recompensa 6.8%
  Risk/Reward Ratio          :  2.00x   BUN ★★
  ATR (volatilitate zilnica) :  10.4286
RR de 2.0x este solid și profesionist.
Cu un win rate de 40% și un RR constant de 2x, sistemul este matematic profitabil pe termen lung. Nu ceda tentației de a muta TP-ul prea devreme.
BONUS CONFIRMARE: Volum excepțional (2.4x medie).
Volumul ridicat crește semnificativ credibilitatea semnalului. Mișcările cu volum mare sunt mult mai puțin susceptibile de a fi false. Acesta este un semnal de calitate superioară.</t>
        </is>
      </c>
    </row>
    <row r="913" ht="18" customHeight="1" s="113">
      <c r="A913" s="184" t="inlineStr">
        <is>
          <t xml:space="preserve">  PATTERN GRAFIC DETECTAT</t>
        </is>
      </c>
    </row>
    <row r="914" ht="120" customHeight="1" s="113">
      <c r="A914" s="185" t="inlineStr">
        <is>
          <t>PATTERN ACTIV: GOLDEN CROSS
MA50 (434.65) &gt; MA200 (422.51) cu 2.87%.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t>
        </is>
      </c>
    </row>
    <row r="915" ht="18" customHeight="1" s="113">
      <c r="A915" s="184" t="inlineStr">
        <is>
          <t xml:space="preserve">  LECȚIA ZILEI</t>
        </is>
      </c>
    </row>
    <row r="916" ht="393" customHeight="1" s="113">
      <c r="A916" s="185" t="inlineStr">
        <is>
          <t xml:space="preserve">
─────────────────────────────────────────────LECȚIE — GOLDEN CROSS: ÎNTÂRZIERE VS. ANTICIPARE:
Golden Cross este real și puternic, dar are un defect major: este un indicator LAGGING (cu întârziere). Apare DUPĂ ce prețul a urcat deja 10-30%.
Strategia amatorilor: cumpără exact la Golden Cross (prea târziu).
Strategia profesioniștilor: anticipează Golden Cross-ul.
Cum anticipezi:
  1. MA200 încetinește scăderea (se aplatizează)
  2. MA50 oprește scăderea și inversează
  3. RSI revine din sub 30 → zona 40-50
  4. MACD formează un bullish crossover la zero line
  5. Volumul crește pe zilele UP
Dacă bifezi 4 din 5 și Golden Cross nu s-a format încă — ACELA este momentul optim de cumpărare.
LECȚIE PSIHOLOGIE — EMOȚIILE ȘI PIERDEREA BANILOR:
Studiile arată că durerea unei pierderi de 100 lei este psihologic de 2x mai intensă decât bucuria unui câștig de 100 lei (Loss Aversion, Daniel Kahneman, Nobel 2002).
Cum afectează trading-ul:
  1. Ții pozițiile perdante prea mult ('o să revină')
  2. Vinzi pozițiile câștigătoare prea repede (frică să nu pierzi profitul)
  3. Dublezi pe pierdere pentru a 'recupera' (averaging down neselectiv)
  4. Faci revenge trading după o pierdere (emoție, nu analiză)
Soluția: PLAN SCRIS înainte de intrare. Entry, SL, TP, sizing — scrise pe hârtie sau în jurnal ÎNAINTE de a deschide poziția. Odată în poziție, lăsă planul să lucreze, nu emoțiile.</t>
        </is>
      </c>
    </row>
    <row r="917" ht="6" customHeight="1" s="113">
      <c r="A917" s="186" t="n"/>
      <c r="B917" s="186" t="n"/>
      <c r="C917" s="186" t="n"/>
    </row>
    <row r="919" ht="24" customHeight="1" s="113">
      <c r="A919" s="183" t="inlineStr">
        <is>
          <t xml:space="preserve">  Wheat   |   Preț: 589.2500   |   Zi: -1.01%   |   RSI: 54.8   |   Confluențe: 2/5   |   SEMNAL: WAIT  </t>
        </is>
      </c>
    </row>
    <row r="920" ht="18" customHeight="1" s="113">
      <c r="A920" s="184" t="inlineStr">
        <is>
          <t xml:space="preserve">  DE CE S-A MIȘCAT ASTĂZI</t>
        </is>
      </c>
    </row>
    <row r="921" ht="263" customHeight="1" s="113">
      <c r="A921" s="185" t="inlineStr">
        <is>
          <t>Wheat a scăzut moderat cu 1.01% astăzi (preț curent: 589.2500).
Pe săptămână: -0.08% | Pe lună: +3.83%.
VOLUM EXCEPȚIONAL: 3.0x față de media pe 20 de zile.
Mișcarea de astăzi este CONFIRMATĂ de participare instituțională. Volumul ridicat validează direcția — nu este o mișcare întâmplătoare. Fondurile, băncile și algos tranzacționează activ acest activ azi.
RSI = 54.8 — Zonă NEUTRĂ.
Echilibru între cumpărători și vânzători. Piața caută direcție. Evita pozițiile mari până la o confirmare clară de trend.
MACD negativ (histogram: -1.7426).
Presiunea de vânzare domină pe termen scurt. Fii precaut cu pozițiile long în acest context.
GOLDEN CROSS ACTIV: MA50 (554.10) &gt; MA200 (531.30).
Cea mai importantă configurație bullish pe termen mediu-lung. Fondurile de pensii, ETF-urile și robo-advisors cumpără automat la Golden Cross. Trendul major este ascendent — scăderile sunt oportunități de cumpărare, nu semnale de panică.
Prețul în interiorul Bollinger (557.6910 — 619.2590). Nicio extremă pentru moment, volatilitate normală.
CONCLUZIE: Semnalele sunt MIXTE — AȘTEPTARE recomandată.
Nu forța o tranzacție când piața nu are direcție clară. Cel mai bun trade uneori este să nu tranzacționezi.</t>
        </is>
      </c>
    </row>
    <row r="922" ht="18" customHeight="1" s="113">
      <c r="A922" s="184" t="inlineStr">
        <is>
          <t xml:space="preserve">  OPORTUNITATE DE TRADING</t>
        </is>
      </c>
    </row>
    <row r="923" ht="133" customHeight="1" s="113">
      <c r="A923" s="185" t="inlineStr">
        <is>
          <t>NU EXISTĂ OPORTUNITATE CLARĂ în acest moment.
Confluențe tehnice: 2/5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924" ht="18" customHeight="1" s="113">
      <c r="A924" s="184" t="inlineStr">
        <is>
          <t xml:space="preserve">  PATTERN GRAFIC DETECTAT</t>
        </is>
      </c>
    </row>
    <row r="925" ht="120" customHeight="1" s="113">
      <c r="A925" s="185" t="inlineStr">
        <is>
          <t>PATTERN ACTIV: GOLDEN CROSS
MA50 (554.10) &gt; MA200 (531.30) cu 4.29%.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t>
        </is>
      </c>
    </row>
    <row r="926" ht="18" customHeight="1" s="113">
      <c r="A926" s="184" t="inlineStr">
        <is>
          <t xml:space="preserve">  LECȚIA ZILEI</t>
        </is>
      </c>
    </row>
    <row r="927" ht="393" customHeight="1" s="113">
      <c r="A927" s="185" t="inlineStr">
        <is>
          <t xml:space="preserve">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
LECȚIE — GOLDEN CROSS: ÎNTÂRZIERE VS. ANTICIPARE:
Golden Cross este real și puternic, dar are un defect major: este un indicator LAGGING (cu întârziere). Apare DUPĂ ce prețul a urcat deja 10-30%.
Strategia amatorilor: cumpără exact la Golden Cross (prea târziu).
Strategia profesioniștilor: anticipează Golden Cross-ul.
Cum anticipezi:
  1. MA200 încetinește scăderea (se aplatizează)
  2. MA50 oprește scăderea și inversează
  3. RSI revine din sub 30 → zona 40-50
  4. MACD formează un bullish crossover la zero line
  5. Volumul crește pe zilele UP
Dacă bifezi 4 din 5 și Golden Cross nu s-a format încă — ACELA este momentul optim de cumpărare.</t>
        </is>
      </c>
    </row>
    <row r="928" ht="6" customHeight="1" s="113">
      <c r="A928" s="186" t="n"/>
      <c r="B928" s="186" t="n"/>
      <c r="C928" s="186" t="n"/>
    </row>
    <row r="930" ht="24" customHeight="1" s="113">
      <c r="A930" s="183" t="inlineStr">
        <is>
          <t xml:space="preserve">  Soybean   |   Preț: 1,164.5000   |   Zi: +0.28%   |   RSI: 52.9   |   Confluențe: 1/5   |   SEMNAL: WAIT  </t>
        </is>
      </c>
    </row>
    <row r="931" ht="18" customHeight="1" s="113">
      <c r="A931" s="184" t="inlineStr">
        <is>
          <t xml:space="preserve">  DE CE S-A MIȘCAT ASTĂZI</t>
        </is>
      </c>
    </row>
    <row r="932" ht="250" customHeight="1" s="113">
      <c r="A932" s="185" t="inlineStr">
        <is>
          <t>Soybean a crescut ușor cu 0.28% astăzi (preț curent: 1,164.5000).
Pe săptămână: +0.65% | Pe lună: +2.19%.
Volum ușor peste medie (1.5x) — mișcarea are suport real din piață, fără anomalii. Participare normală spre ridicată.
RSI = 52.9 — Zonă NEUTRĂ.
Echilibru între cumpărători și vânzători. Piața caută direcție. Evita pozițiile mari până la o confirmare clară de trend.
MACD negativ (histogram: -5.2920).
Presiunea de vânzare domină pe termen scurt. Fii precaut cu pozițiile long în acest context.
GOLDEN CROSS ACTIV: MA50 (1,119.03) &gt; MA200 (1,063.05).
Cea mai importantă configurație bullish pe termen mediu-lung. Fondurile de pensii, ETF-urile și robo-advisors cumpără automat la Golden Cross. Trendul major este ascendent — scăderile sunt oportunități de cumpărare, nu semnale de panică.
Prețul în interiorul Bollinger (1,125.7387 — 1,210.4863). Nicio extremă pentru moment, volatilitate normală.
CONCLUZIE: Semnalele sunt MIXTE — AȘTEPTARE recomandată.
Nu forța o tranzacție când piața nu are direcție clară. Cel mai bun trade uneori este să nu tranzacționezi.</t>
        </is>
      </c>
    </row>
    <row r="933" ht="18" customHeight="1" s="113">
      <c r="A933" s="184" t="inlineStr">
        <is>
          <t xml:space="preserve">  OPORTUNITATE DE TRADING</t>
        </is>
      </c>
    </row>
    <row r="934" ht="133" customHeight="1" s="113">
      <c r="A934" s="185" t="inlineStr">
        <is>
          <t>NU EXISTĂ OPORTUNITATE CLARĂ în acest moment.
Confluențe tehnice: 1/5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935" ht="18" customHeight="1" s="113">
      <c r="A935" s="184" t="inlineStr">
        <is>
          <t xml:space="preserve">  PATTERN GRAFIC DETECTAT</t>
        </is>
      </c>
    </row>
    <row r="936" ht="120" customHeight="1" s="113">
      <c r="A936" s="185" t="inlineStr">
        <is>
          <t>PATTERN ACTIV: GOLDEN CROSS
MA50 (1,119.03) &gt; MA200 (1,063.05) cu 5.27%.
Semnificație completă:
Este cel mai urmărit semnal bullish pe termen mediu-lung. Instituțiile, fondurile de indici și robo-advisors CUMPĂRĂ automat la Golden Cross. Istoric, S&amp;P 500 a generat un randament mediu de +15% în primele 12 luni după un Golden Cross.
CUM ARATĂ PE GRAFIC:
Linia MA50 (albastru) taie MA200 (roșu) de jos în sus. Caută un candle bullish (verde) care să confirme încrucișarea. Volumul crescut la momentul crossover-ului este esențial pentru validare.</t>
        </is>
      </c>
    </row>
    <row r="937" ht="18" customHeight="1" s="113">
      <c r="A937" s="184" t="inlineStr">
        <is>
          <t xml:space="preserve">  LECȚIA ZILEI</t>
        </is>
      </c>
    </row>
    <row r="938" ht="289" customHeight="1" s="113">
      <c r="A938" s="185" t="inlineStr">
        <is>
          <t xml:space="preserve">
─────────────────────────────────────────────LECȚIE — PUTEREA 'NU TRANZACȚIONEZ' :
Una dintre cele mai greu de aplicat lecții în trading este să nu faci nimic. Mulți traderi simt nevoia permanentă de a fi 'în piață'. Realitatea: marii profesioniști stau în cash sau neutral 60-70% din timp și atacă DOAR când setup-ul este perfect.
Jack Schwager, în cartea 'Market Wizards', a intervievat cei mai buni traderi din lume. Toți aveau în comun un lucru: SELECTIVITATE EXTREMĂ. Nu numărul de tranzacții te îmbogățește, ci CALITATEA lor.
Aplicare practică: stabilește-ți un checklist cu 5 condiții. Intri DOAR dacă toate 5 sunt bifate. Astăzi acest activ nu le bifează.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t>
        </is>
      </c>
    </row>
    <row r="939" ht="6" customHeight="1" s="113">
      <c r="A939" s="186" t="n"/>
      <c r="B939" s="186" t="n"/>
      <c r="C939" s="186" t="n"/>
    </row>
    <row r="941" ht="24" customHeight="1" s="113">
      <c r="A941" s="183" t="inlineStr">
        <is>
          <t xml:space="preserve">  Coffee   |   Preț: 306.9000   |   Zi: -0.92%   |   RSI: 66.0   |   Confluențe: 1/5   |   SEMNAL: WAIT  </t>
        </is>
      </c>
    </row>
    <row r="942" ht="18" customHeight="1" s="113">
      <c r="A942" s="184" t="inlineStr">
        <is>
          <t xml:space="preserve">  DE CE S-A MIȘCAT ASTĂZI</t>
        </is>
      </c>
    </row>
    <row r="943" ht="263" customHeight="1" s="113">
      <c r="A943" s="185" t="inlineStr">
        <is>
          <t>Coffee a scăzut ușor cu 0.92% astăzi (preț curent: 306.9000).
Pe săptămână: +1.61% | Pe lună: +6.47%.
VOLUM EXCEPȚIONAL: 7.0x față de media pe 20 de zile.
Mișcarea de astăzi este CONFIRMATĂ de participare instituțională. Volumul ridicat validează direcția — nu este o mișcare întâmplătoare. Fondurile, băncile și algos tranzacționează activ acest activ azi.
RSI = 66.0 — Momentum POZITIV.
Cumpărătorii au controlul, dar activul nu este încă supraevaluat. Zona 55-70 este adesea CEA MAI PROFITABILĂ pentru trend-following. Trendul bullish se menține solid.
MACD pozitiv și crescător (histogram: +3.4302).
Momentumul bullish se menține, fără un crossover proaspăt. Trendul continuă dar fără accelerare nouă.
DEATH CROSS ACTIV: MA50 (313.54) &lt; MA200 (350.13).
Semnal bearish major pe termen mediu-lung. Mulți investitori instituționali reduc expunerea automat la Death Cross. Creșterile temporare pot fi oportunități de vânzare (short) sau ieșire din poziții long.
Prețul în interiorul Bollinger (280.2248 — 310.5002). Nicio extremă pentru moment, volatilitate normală.
CONCLUZIE: Semnalele sunt MIXTE — AȘTEPTARE recomandată.
Nu forța o tranzacție când piața nu are direcție clară. Cel mai bun trade uneori este să nu tranzacționezi.</t>
        </is>
      </c>
    </row>
    <row r="944" ht="18" customHeight="1" s="113">
      <c r="A944" s="184" t="inlineStr">
        <is>
          <t xml:space="preserve">  OPORTUNITATE DE TRADING</t>
        </is>
      </c>
    </row>
    <row r="945" ht="133" customHeight="1" s="113">
      <c r="A945" s="185" t="inlineStr">
        <is>
          <t>NU EXISTĂ OPORTUNITATE CLARĂ în acest moment.
Confluențe tehnice: 1/5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946" ht="18" customHeight="1" s="113">
      <c r="A946" s="184" t="inlineStr">
        <is>
          <t xml:space="preserve">  PATTERN GRAFIC DETECTAT</t>
        </is>
      </c>
    </row>
    <row r="947" ht="120" customHeight="1" s="113">
      <c r="A947" s="185" t="inlineStr">
        <is>
          <t>PATTERN ACTIV: DEATH CROSS
MA50 (313.54) &lt; MA200 (350.13) cu 10.45%.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t>
        </is>
      </c>
    </row>
    <row r="948" ht="18" customHeight="1" s="113">
      <c r="A948" s="184" t="inlineStr">
        <is>
          <t xml:space="preserve">  LECȚIA ZILEI</t>
        </is>
      </c>
    </row>
    <row r="949" ht="289" customHeight="1" s="113">
      <c r="A949" s="185" t="inlineStr">
        <is>
          <t xml:space="preserve">
─────────────────────────────────────────────LECȚIE — PUTEREA 'NU TRANZACȚIONEZ' :
Una dintre cele mai greu de aplicat lecții în trading este să nu faci nimic. Mulți traderi simt nevoia permanentă de a fi 'în piață'. Realitatea: marii profesioniști stau în cash sau neutral 60-70% din timp și atacă DOAR când setup-ul este perfect.
Jack Schwager, în cartea 'Market Wizards', a intervievat cei mai buni traderi din lume. Toți aveau în comun un lucru: SELECTIVITATE EXTREMĂ. Nu numărul de tranzacții te îmbogățește, ci CALITATEA lor.
Aplicare practică: stabilește-ți un checklist cu 5 condiții. Intri DOAR dacă toate 5 sunt bifate. Astăzi acest activ nu le bifează.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t>
        </is>
      </c>
    </row>
    <row r="950" ht="6" customHeight="1" s="113">
      <c r="A950" s="186" t="n"/>
      <c r="B950" s="186" t="n"/>
      <c r="C950" s="186" t="n"/>
    </row>
    <row r="952" ht="24" customHeight="1" s="113">
      <c r="A952" s="183" t="inlineStr">
        <is>
          <t xml:space="preserve">  Sugar   |   Preț: 15.5200   |   Zi: -1.15%   |   RSI: 73.2   |   Confluențe: 2/5   |   SEMNAL: WAIT  </t>
        </is>
      </c>
    </row>
    <row r="953" ht="18" customHeight="1" s="113">
      <c r="A953" s="184" t="inlineStr">
        <is>
          <t xml:space="preserve">  DE CE S-A MIȘCAT ASTĂZI</t>
        </is>
      </c>
    </row>
    <row r="954" ht="341" customHeight="1" s="113">
      <c r="A954" s="185" t="inlineStr">
        <is>
          <t>Sugar a scăzut moderat cu 1.15% astăzi (preț curent: 15.5200).
Pe săptămână: +7.40% | Pe lună: +6.67%.
Volum ușor peste medie (1.4x) — mișcarea are suport real din piață, fără anomalii. Participare normală spre ridicată.
RSI = 73.2 — ZONĂ SUPRAEVALUAT (peste 70).
Activul a crescut prea rapid. Probabilitatea unei corecții sau consolidări crește. Cei cu poziții long ar trebui să ia în considerare protejarea profiturilor (trailing stop sau reducere parțială a expunerii).
MACD pozitiv și crescător (histogram: +0.1730).
Momentumul bullish se menține, fără un crossover proaspăt. Trendul continuă dar fără accelerare nouă.
DEATH CROSS ACTIV: MA50 (14.46) &lt; MA200 (15.35).
Semnal bearish major pe termen mediu-lung. Mulți investitori instituționali reduc expunerea automat la Death Cross. Creșterile temporare pot fi oportunități de vânzare (short) sau ieșire din poziții long.
PREȚ LA BANDA SUPERIOARĂ Bollinger (15.5484).
Statistic, prețul revine spre medie în ~80% din cazuri după atingerea benzii superioare. Semnal: posibilă supraextindere pe termen scurt — risc crescut de corecție iminentă sau consolidare orizontală.
Stochastic %K = 89.2 — OVERBOUGHT (peste 80).
Activul s-a apreciat rapid pe termen scurt. Când %K coboară sub %D din zona &gt;80, este semnal de vânzare / luare profit pe termen scurt.
Momentum 10 zile: +6.37% — PUTERNIC POZITIV.
Activul a acumulat câștiguri consistente în ultimele 2 săptămâni. Trendul pe termen scurt este bullish solid.
CONCLUZIE: Semnalele sunt MIXTE — AȘTEPTARE recomandată.
Nu forța o tranzacție când piața nu are direcție clară. Cel mai bun trade uneori este să nu tranzacționezi.</t>
        </is>
      </c>
    </row>
    <row r="955" ht="18" customHeight="1" s="113">
      <c r="A955" s="184" t="inlineStr">
        <is>
          <t xml:space="preserve">  OPORTUNITATE DE TRADING</t>
        </is>
      </c>
    </row>
    <row r="956" ht="133" customHeight="1" s="113">
      <c r="A956" s="185" t="inlineStr">
        <is>
          <t>NU EXISTĂ OPORTUNITATE CLARĂ în acest moment.
Confluențe tehnice: 2/5 — sub pragul minim de 3.
CE SĂ URMĂREȘTI pentru a identifica o intrare viitoare:
  • RSI să coboare sub 40 (pentru BUY) sau să depășească 70 (SELL)
  • MACD să confirme cu un crossover în direcția dorită
  • Volumul să fie peste 1.2x medie la momentul mișcării
  • MA50 deasupra MA200 (Golden Cross) pentru semnale BUY
  • Un candle bullish/bearish puternic la un nivel de suport/rezistență</t>
        </is>
      </c>
    </row>
    <row r="957" ht="18" customHeight="1" s="113">
      <c r="A957" s="184" t="inlineStr">
        <is>
          <t xml:space="preserve">  PATTERN GRAFIC DETECTAT</t>
        </is>
      </c>
    </row>
    <row r="958" ht="185" customHeight="1" s="113">
      <c r="A958" s="185" t="inlineStr">
        <is>
          <t>PATTERN ACTIV: DEATH CROSS
MA50 (14.46) &lt; MA200 (15.35) cu 5.80%.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
PATTERN: STOCHASTIC OVERBOUGHT CROSSOVER
%K (89.2) a coborât sub %D (94.0) din zona peste 75.
Semnal de luare a profitului / vânzare pe termen scurt.</t>
        </is>
      </c>
    </row>
    <row r="959" ht="18" customHeight="1" s="113">
      <c r="A959" s="184" t="inlineStr">
        <is>
          <t xml:space="preserve">  LECȚIA ZILEI</t>
        </is>
      </c>
    </row>
    <row r="960" ht="289" customHeight="1" s="113">
      <c r="A960" s="185" t="inlineStr">
        <is>
          <t xml:space="preserve">
─────────────────────────────────────────────LECȚIE — MATEMTATICA RISK/REWARD RATIO:
RR-ul curent pentru acest setup este 1.0x — sub pragul profesionist de 2x.
De ce contează matematic:
  Cu RR = 1.0x și win rate 50% → breakeven (zero profit după costuri)
  Cu RR = 1.5x și win rate 40% → PROFITABIL pe termen lung
  Cu RR = 2.0x și win rate 34% → PROFITABIL pe termen lung
  Cu RR = 3.0x și win rate 26% → PROFITABIL pe termen lung
Concluzie: cu un RR bun, poți câștiga mai mult decât pierzi chiar dacă ai mai multe tranzacții pierzătoare decât câștigătoare. Ajustează SL și TP pentru a obține minim 2x înainte de a intra.
LECȚIE — NU SHORT-UI ÎNTR-UN BULL MARKET:
RSI peste 70 nu înseamnă automat 'vinde'. NVIDIA în 2023-2024 a avut RSI peste 70 timp de 8 luni consecutive și a crescut cu 400% în acea perioadă.
Activele pot rămâne 'supraevaluate' luni întregi în bull market-uri puternice. Regula: short-ul pe RSI ridicat funcționează în piețe laterale sau bearish. În uptrend puternic (Golden Cross + volum crescut), short-ul pe RSI ridicat = rețetă pentru pierderi mari.
Alternativa corectă: dacă ești long, folosești trailing stop pentru a lăsa profitul să curgă și a te proteja simultan.</t>
        </is>
      </c>
    </row>
    <row r="961" ht="6" customHeight="1" s="113">
      <c r="A961" s="186" t="n"/>
      <c r="B961" s="186" t="n"/>
      <c r="C961" s="186" t="n"/>
    </row>
    <row r="963" ht="24" customHeight="1" s="113">
      <c r="A963" s="188" t="inlineStr">
        <is>
          <t xml:space="preserve">  Cotton   |   Preț: 67.1600   |   Zi: -0.22%   |   RSI: 79.6   |   Confluențe: 3/5   |   SEMNAL: SELL  </t>
        </is>
      </c>
    </row>
    <row r="964" ht="18" customHeight="1" s="113">
      <c r="A964" s="184" t="inlineStr">
        <is>
          <t xml:space="preserve">  DE CE S-A MIȘCAT ASTĂZI</t>
        </is>
      </c>
    </row>
    <row r="965" ht="289" customHeight="1" s="113">
      <c r="A965" s="185" t="inlineStr">
        <is>
          <t>Cotton a scăzut ușor cu 0.22% astăzi (preț curent: 67.1600).
Pe săptămână: -2.34% | Pe lună: +5.66%.
Volum în linie cu media (1.0x) — nicio anomalie de participare.
RSI = 79.6 — ZONĂ SUPRAEVALUAT (peste 70).
Activul a crescut prea rapid. Probabilitatea unei corecții sau consolidări crește. Cei cu poziții long ar trebui să ia în considerare protejarea profiturilor (trailing stop sau reducere parțială a expunerii).
MACD pozitiv și crescător (histogram: +0.3180).
Momentumul bullish se menține, fără un crossover proaspăt. Trendul continuă dar fără accelerare nouă.
DEATH CROSS ACTIV: MA50 (63.88) &lt; MA200 (64.49).
Semnal bearish major pe termen mediu-lung. Mulți investitori instituționali reduc expunerea automat la Death Cross. Creșterile temporare pot fi oportunități de vânzare (short) sau ieșire din poziții long.
Prețul în interiorul Bollinger (60.5507 — 69.5053). Nicio extremă pentru moment, volatilitate normală.
Momentum 10 zile: +5.61% — PUTERNIC POZITIV.
Activul a acumulat câștiguri consistente în ultimele 2 săptămâni. Trendul pe termen scurt este bullish solid.
CONCLUZIE: Configurația tehnică indică PRESIUNE DE VÂNZARE.
Prudență cu pozițiile long existente. Dacă ești short, respectă stop loss-ul pentru a nu fi prins în rally-uri de recuperare (bear rallies).</t>
        </is>
      </c>
    </row>
    <row r="966" ht="18" customHeight="1" s="113">
      <c r="A966" s="184" t="inlineStr">
        <is>
          <t xml:space="preserve">  OPORTUNITATE DE TRADING</t>
        </is>
      </c>
    </row>
    <row r="967" ht="211" customHeight="1" s="113">
      <c r="A967" s="185" t="inlineStr">
        <is>
          <t>OPORTUNITATE SHORT / VÂNZARE — 3 confluențe tehnice aliniate.
Probabilitate estimată: 65%
PARAMETRI SHORT:
  Entry short                :  67.1600
  Stop Loss (SL)             :  69.1121     ← risc 2.9% din pozitie
  Take Profit (TP)           :  63.2557     ← target scadere 5.8%
  Risk/Reward Ratio          :  2.00x   BUN ★★
  ATR (volatilitate zilnica) :  1.3014
IMPORTANT — SHORT-UL este o strategie avansată:
  • Short-ul implică a vinde ceva ce nu deții (împrumutat)
  • Pierderea teoretică este NELIMITATĂ (prețul poate urca infinit)
  • Necesită cont de marjă și experiență prealabilă
  • Alternativa mai sigură: cumpără un ETF inversat sau opțiuni PUT</t>
        </is>
      </c>
    </row>
    <row r="968" ht="18" customHeight="1" s="113">
      <c r="A968" s="184" t="inlineStr">
        <is>
          <t xml:space="preserve">  PATTERN GRAFIC DETECTAT</t>
        </is>
      </c>
    </row>
    <row r="969" ht="185" customHeight="1" s="113">
      <c r="A969" s="185" t="inlineStr">
        <is>
          <t>PATTERN ACTIV: DEATH CROSS
MA50 (63.88) &lt; MA200 (64.49) cu 0.95%.
Semnificație completă:
Semnal bearish major pe termen mediu-lung. Mulți algoritmi de trailing stop se activează automat. Poate semnala începutul unui bear market prelungit.
CAPCANA FRECVENTĂ:
Death Cross-ul apare DUPĂ ce prețul a coborât deja 15-25%. Nu vinde în panică exact la semnal. Caută un retest (pull-back) al MA50 (care a devenit rezistență) pentru un entry short mai bun.
PATTERN: STOCHASTIC OVERBOUGHT CROSSOVER
%K (75.8) a coborât sub %D (78.4) din zona peste 75.
Semnal de luare a profitului / vânzare pe termen scurt.</t>
        </is>
      </c>
    </row>
    <row r="970" ht="18" customHeight="1" s="113">
      <c r="A970" s="184" t="inlineStr">
        <is>
          <t xml:space="preserve">  LECȚIA ZILEI</t>
        </is>
      </c>
    </row>
    <row r="971" ht="289" customHeight="1" s="113">
      <c r="A971" s="185" t="inlineStr">
        <is>
          <t xml:space="preserve">
─────────────────────────────────────────────LECȚIE — NU SHORT-UI ÎNTR-UN BULL MARKET:
RSI peste 70 nu înseamnă automat 'vinde'. NVIDIA în 2023-2024 a avut RSI peste 70 timp de 8 luni consecutive și a crescut cu 400% în acea perioadă.
Activele pot rămâne 'supraevaluate' luni întregi în bull market-uri puternice. Regula: short-ul pe RSI ridicat funcționează în piețe laterale sau bearish. În uptrend puternic (Golden Cross + volum crescut), short-ul pe RSI ridicat = rețetă pentru pierderi mari.
Alternativa corectă: dacă ești long, folosești trailing stop pentru a lăsa profitul să curgă și a te proteja simultan.
LECȚIE — DEATH CROSS: GREȘEALA CLASICĂ:
Death Cross apare adesea la MIJLOCUL unei corecții, nu la început. Dacă vinzi în panică la Death Cross, vinzi la jumătatea scăderii.
Strategia corectă:
  1. Reducerea expunerii la PRIMELE semnale (MA50 se aplatizează,      MACD bearish cross, volum crescut pe zile negative)
  2. La Death Cross complet format: evaluezi dacă teza investițională      mai este validă pe termen lung
  3. Dacă fundamentele sunt bune: Death Cross = oportunitate de      acumulare în etape (Dollar Cost Averaging)
  4. Dacă fundamentele s-au deteriorat: Death Cross = confirmare      că ai dreptate să ieși
Nu există un răspuns universal — contextul fundamental contează enorm.</t>
        </is>
      </c>
    </row>
    <row r="972" ht="6" customHeight="1" s="113">
      <c r="A972" s="186" t="n"/>
      <c r="B972" s="186" t="n"/>
      <c r="C972" s="186" t="n"/>
    </row>
    <row r="977" ht="55" customHeight="1" s="113">
      <c r="A977" s="189" t="inlineStr">
        <is>
          <t>GHID COMPLET DE CITIRE GRAFICE &amp; INDICATORI TEHNICI
Referință permanentă — citește zilnic pentru a-ți forma ochiul de trader</t>
        </is>
      </c>
    </row>
    <row r="979" ht="28" customHeight="1" s="113">
      <c r="A979" s="190" t="inlineStr">
        <is>
          <t xml:space="preserve">  CANDLESTICK (LUMÂNĂRI JAPONEZE) — Fundația analizei tehnice</t>
        </is>
      </c>
    </row>
    <row r="980" ht="20" customHeight="1" s="113">
      <c r="A980" s="191" t="inlineStr">
        <is>
          <t xml:space="preserve">    ▸  Ce este o lumânare</t>
        </is>
      </c>
    </row>
    <row r="981" ht="81" customHeight="1" s="113">
      <c r="A981" s="192" t="inlineStr">
        <is>
          <t>Fiecare lumânare reprezintă o perioadă de timp (zi, oră, 5 minute etc.) și conține 4 informații esențiale:
  • OPEN (Deschidere): prețul la începutul perioadei
  • HIGH (Maxim): cel mai mare preț atins
  • LOW (Minim): cel mai mic preț atins
  • CLOSE (Închidere): prețul la sfârșitul perioadei</t>
        </is>
      </c>
    </row>
    <row r="982" ht="20" customHeight="1" s="113">
      <c r="A982" s="191" t="inlineStr">
        <is>
          <t xml:space="preserve">    ▸  Corpul lumânării</t>
        </is>
      </c>
    </row>
    <row r="983" ht="68" customHeight="1" s="113">
      <c r="A983" s="192" t="inlineStr">
        <is>
          <t>VERDE (bullish): Închidere &gt; Deschidere → prețul a URCAT în acea perioadă.
ROȘU (bearish): Închidere &lt; Deschidere → prețul a COBORÂT în acea perioadă.
Mărimea corpului = forța mișcării. Corp mare verde = bulls puternici. Corp mic = indeczie, echilibru între cumpărători și vânzători.</t>
        </is>
      </c>
    </row>
    <row r="984" ht="20" customHeight="1" s="113">
      <c r="A984" s="191" t="inlineStr">
        <is>
          <t xml:space="preserve">    ▸  Umbrele (fitilele / shadows)</t>
        </is>
      </c>
    </row>
    <row r="985" ht="68" customHeight="1" s="113">
      <c r="A985" s="192" t="inlineStr">
        <is>
          <t>Liniile subțiri deasupra și dedesubt corpului:
  • Umbră LUNGĂ sus: prețul a urcat la maxim dar a revenit jos → Bears au respins mișcarea
  • Umbră LUNGĂ jos: prețul a coborât la minim dar a recuperat → Bulls au apărat nivelul
  • Umbră scurtă sau absentă: direcție clară, presiune uniformă</t>
        </is>
      </c>
    </row>
    <row r="986" ht="20" customHeight="1" s="113">
      <c r="A986" s="191" t="inlineStr">
        <is>
          <t xml:space="preserve">    ▸  Cele mai importante pattern-uri de lumânări</t>
        </is>
      </c>
    </row>
    <row r="987" ht="185" customHeight="1" s="113">
      <c r="A987" s="192" t="inlineStr">
        <is>
          <t>DOJI: corp inexistent sau minimal, umbre similare → indeczie pură, potențial punct de inversare
HAMMER (Ciocan): corp mic la vârf, umbră lungă în jos (min. 2x corpul) → reversal BULLISH
  → Semnificație: Bears au coborât prețul mult dar Bulls au preluat controlul complet
SHOOTING STAR (Stea căzătoare): corp mic la bază, umbră lungă în sus → reversal BEARISH
  → Semnificație: Bulls au împins prețul sus dar Bears au preluat controlul
BULLISH ENGULFING: candle verde mare 'înghite' complet candle roșu precedent → BUY puternic
BEARISH ENGULFING: candle roșu mare 'înghite' complet candle verde precedent → SELL puternic
MARUBOZU: corp mare fără umbre → presiune unidirecțională extremă (trend foarte puternic)</t>
        </is>
      </c>
    </row>
    <row r="988" ht="20" customHeight="1" s="113">
      <c r="A988" s="191" t="inlineStr">
        <is>
          <t xml:space="preserve">    ▸  Cum aplici în practică</t>
        </is>
      </c>
    </row>
    <row r="989" ht="81" customHeight="1" s="113">
      <c r="A989" s="192" t="inlineStr">
        <is>
          <t>1. Caută pattern-urile LA NIVELURI CHEIE (suport, rezistență, MA50, MA200)
2. Confirmă cu VOLUMUL: un Hammer pe volum mare = semnal puternic
3. Așteptă CONFIRMAREA: candle-ul următor să confirme direcția
4. Un singur pattern nu e suficient — combină cu RSI, MACD și volum
5. Pattern-urile pe timeframe-uri mai mari (zilnic, săptămânal) sunt mai fiabile</t>
        </is>
      </c>
    </row>
    <row r="990" ht="6" customHeight="1" s="113">
      <c r="A990" s="193" t="n"/>
      <c r="B990" s="193" t="n"/>
      <c r="C990" s="193" t="n"/>
    </row>
    <row r="992" ht="28" customHeight="1" s="113">
      <c r="A992" s="190" t="inlineStr">
        <is>
          <t xml:space="preserve">  RSI — Relative Strength Index (0-100)</t>
        </is>
      </c>
    </row>
    <row r="993" ht="20" customHeight="1" s="113">
      <c r="A993" s="191" t="inlineStr">
        <is>
          <t xml:space="preserve">    ▸  Ce măsoară</t>
        </is>
      </c>
    </row>
    <row r="994" ht="60" customHeight="1" s="113">
      <c r="A994" s="192" t="inlineStr">
        <is>
          <t>RSI măsoară VITEZA și AMPLITUDINEA mișcărilor de preț din ultimele 14 perioade. Răspunde la întrebarea: 'A urcat sau coborât prețul prea repede față de norma sa?'
Formula simplificată: RSI = 100 - (100 / (1 + medie_câștiguri/medie_pierderi_14z))</t>
        </is>
      </c>
    </row>
    <row r="995" ht="20" customHeight="1" s="113">
      <c r="A995" s="191" t="inlineStr">
        <is>
          <t xml:space="preserve">    ▸  Zonele RSI și semnificația lor</t>
        </is>
      </c>
    </row>
    <row r="996" ht="172" customHeight="1" s="113">
      <c r="A996" s="192" t="inlineStr">
        <is>
          <t>0 - 30   → SUPRAVÂNDUT (Oversold): prețul a scăzut prea mult, prea repede
           Probabilitate crescută de revenire, dar nu garantată
30 - 45  → Zonă slabă: Bears în control, dar presiunea scade
45 - 55  → Neutru: echilibru, piața caută direcție
55 - 70  → Zonă puternică: Bulls în control, trend sănătos
           CEA MAI PROFITABILĂ ZONĂ pentru trend-following
70 - 100 → SUPRAEVALUAT (Overbought): prețul a crescut prea mult, prea repede
           Probabilitate crescută de corecție sau consolidare</t>
        </is>
      </c>
    </row>
    <row r="997" ht="20" customHeight="1" s="113">
      <c r="A997" s="191" t="inlineStr">
        <is>
          <t xml:space="preserve">    ▸  RSI Divergence — semnalul cel mai puternic</t>
        </is>
      </c>
    </row>
    <row r="998" ht="159" customHeight="1" s="113">
      <c r="A998" s="192" t="inlineStr">
        <is>
          <t>BULLISH DIVERGENCE (semnificație majoră):
  Prețul face un nou MINIM (lower low)
  dar RSI face un minim MAI MARE (higher low)
  → Presiunea de vânzare SLĂBEȘTE deși prețul coboară
  → Semnal de inversare bullish iminent (unul dintre cele mai fiabile)
BEARISH DIVERGENCE:
  Prețul face un nou MAXIM (higher high)
  dar RSI face un maxim MAI MIC (lower high)
  → Momentumul bullish SLĂBEȘTE deși prețul urcă
  → Semnal de inversare bearish sau corecție majoră</t>
        </is>
      </c>
    </row>
    <row r="999" ht="20" customHeight="1" s="113">
      <c r="A999" s="191" t="inlineStr">
        <is>
          <t xml:space="preserve">    ▸  Greșeli frecvente cu RSI</t>
        </is>
      </c>
    </row>
    <row r="1000" ht="68" customHeight="1" s="113">
      <c r="A1000" s="192" t="inlineStr">
        <is>
          <t>✗ A vinde DOAR pentru că RSI &gt; 70 (poate rămâne acolo LUNI în bull market puternic)
✗ A cumpăra DOAR pentru că RSI &lt; 30 (poate scădea la 15-10 în bear market)
✗ Folosirea RSI izolat fără confirmare de la alt indicator
✗ Ignorarea timeframe-ului: RSI pe 5 minute e zgomot, pe zilnic e semnal</t>
        </is>
      </c>
    </row>
    <row r="1001" ht="6" customHeight="1" s="113">
      <c r="A1001" s="193" t="n"/>
      <c r="B1001" s="193" t="n"/>
      <c r="C1001" s="193" t="n"/>
    </row>
    <row r="1003" ht="28" customHeight="1" s="113">
      <c r="A1003" s="190" t="inlineStr">
        <is>
          <t xml:space="preserve">  MACD — Moving Average Convergence/Divergence</t>
        </is>
      </c>
    </row>
    <row r="1004" ht="20" customHeight="1" s="113">
      <c r="A1004" s="191" t="inlineStr">
        <is>
          <t xml:space="preserve">    ▸  Ce este și cum funcționează</t>
        </is>
      </c>
    </row>
    <row r="1005" ht="120" customHeight="1" s="113">
      <c r="A1005" s="192" t="inlineStr">
        <is>
          <t>MACD arată relația dintre două medii mobile exponențiale.
Calculul:
  Linia MACD  = EMA(12 zile) - EMA(26 zile)  [linia rapidă]
  Linia Signal = EMA(9 zile) a liniei MACD     [linia lentă]
  Histogramă  = Linia MACD - Linia Signal      [barele verzi/roșii]
Răspunde la: 'Care este direcția și forța momentumului pe termen scurt vs mediu?'</t>
        </is>
      </c>
    </row>
    <row r="1006" ht="20" customHeight="1" s="113">
      <c r="A1006" s="191" t="inlineStr">
        <is>
          <t xml:space="preserve">    ▸  Semnalele principale MACD</t>
        </is>
      </c>
    </row>
    <row r="1007" ht="172" customHeight="1" s="113">
      <c r="A1007" s="192" t="inlineStr">
        <is>
          <t>BULLISH CROSSOVER: Linia MACD trece DEASUPRA Signal → semnal BUY
  → Histograma trece de la roșu la verde
BEARISH CROSSOVER: Linia MACD trece DEDESUBT Signal → semnal SELL
  → Histograma trece de la verde la roșu
ZERO LINE CROSS (cel mai puternic):
  MACD trece de la negativ la pozitiv = confirmare trend bullish major
  MACD trece de la pozitiv la negativ = confirmare trend bearish major
HISTOGRAMA CREȘTE = momentum se accelerează
HISTOGRAMA SCADE = momentum se slăbește (atenție: prețul poate urca încă)</t>
        </is>
      </c>
    </row>
    <row r="1008" ht="20" customHeight="1" s="113">
      <c r="A1008" s="191" t="inlineStr">
        <is>
          <t xml:space="preserve">    ▸  Cel mai puternic semnal MACD combinat</t>
        </is>
      </c>
    </row>
    <row r="1009" ht="107" customHeight="1" s="113">
      <c r="A1009" s="192" t="inlineStr">
        <is>
          <t>MACD Bullish Crossover LA LINIA ZERO
+ Confirmat de Golden Cross MA50/MA200
+ Volum crescut (RVOL &gt; 1.5x)
+ RSI în zona 40-55 (nu supraevaluat)
= Unul dintre cele mai fiabile setup-uri din analiza tehnică clasică.
Apare de câteva ori pe an pe activele majore — merită așteptat.</t>
        </is>
      </c>
    </row>
    <row r="1010" ht="20" customHeight="1" s="113">
      <c r="A1010" s="191" t="inlineStr">
        <is>
          <t xml:space="preserve">    ▸  Limitări importante</t>
        </is>
      </c>
    </row>
    <row r="1011" ht="68" customHeight="1" s="113">
      <c r="A1011" s="192" t="inlineStr">
        <is>
          <t>LAGGING indicator: confirmă tendințele, nu le prezice.
Cel mai eficient pe timeframe-uri ZILNICE și SĂPTĂMÂNALE.
Pe timeframe-uri mici (sub 1 oră) generează foarte mult zgomot.
Funcționează cel mai bine în trenduri clare, mai puțin în piețe laterale.</t>
        </is>
      </c>
    </row>
    <row r="1012" ht="6" customHeight="1" s="113">
      <c r="A1012" s="193" t="n"/>
      <c r="B1012" s="193" t="n"/>
      <c r="C1012" s="193" t="n"/>
    </row>
    <row r="1014" ht="28" customHeight="1" s="113">
      <c r="A1014" s="190" t="inlineStr">
        <is>
          <t xml:space="preserve">  MEDII MOBILE — MA20, MA50, MA200</t>
        </is>
      </c>
    </row>
    <row r="1015" ht="20" customHeight="1" s="113">
      <c r="A1015" s="191" t="inlineStr">
        <is>
          <t xml:space="preserve">    ▸  Ce sunt și ce reprezintă</t>
        </is>
      </c>
    </row>
    <row r="1016" ht="146" customHeight="1" s="113">
      <c r="A1016" s="192" t="inlineStr">
        <is>
          <t>Mediilele mobile 'netezesc' zgomotul prețului și arată DIRECȚIA TENDINTEI.
  MA20  = media ultimelor 20 zile  (~1 lună)
          Urmărită de: day traderi, scalpers
  MA50  = media ultimelor 50 zile  (~2.5 luni)
          Urmărită de: swing traderi, fonduri
  MA200 = media ultimelor 200 zile (~10 luni)
          Urmărită de: investitori pe termen lung, fonduri de pensii</t>
        </is>
      </c>
    </row>
    <row r="1017" ht="20" customHeight="1" s="113">
      <c r="A1017" s="191" t="inlineStr">
        <is>
          <t xml:space="preserve">    ▸  Regulile esențiale</t>
        </is>
      </c>
    </row>
    <row r="1018" ht="107" customHeight="1" s="113">
      <c r="A1018" s="192" t="inlineStr">
        <is>
          <t>1. Preț DEASUPRA MA200 = Bull Market (piață primară bullish)
2. Preț DEDESUBT MA200 = Bear Market (piață primară bearish)
3. GOLDEN CROSS (MA50 &gt; MA200) = semnal bullish major pe termen lung
4. DEATH CROSS  (MA50 &lt; MA200) = semnal bearish major pe termen lung
5. MA50 = SUPORT DINAMIC în uptrend și REZISTENȚĂ DINAMICĂ în downtrend
6. Cu cât mai mulți jucători urmăresc un nivel, cu atât e mai puternic
   (Profecie care se autoîmplinește — Self-fulfilling prophecy)</t>
        </is>
      </c>
    </row>
    <row r="1019" ht="20" customHeight="1" s="113">
      <c r="A1019" s="191" t="inlineStr">
        <is>
          <t xml:space="preserve">    ▸  Cum utilizezi pe grafic</t>
        </is>
      </c>
    </row>
    <row r="1020" ht="133" customHeight="1" s="113">
      <c r="A1020" s="192" t="inlineStr">
        <is>
          <t>UPTREND: Prețul tinde să revină la MA50 (pullback = oportunitate de cumpărare)
  → Entry: la atingerea MA50 cu candle bullish de confirmare
  → Stop Loss: sub MA50 (sau sub ultimul minim semnificativ)
DOWNTREND: Prețul tinde să respingă MA50 (bear rally = oportunitate de vânzare)
  → Short Entry: la retestul MA50 cu candle bearish de confirmare
  → Stop Loss: deasupra MA50
TRANZIȚIE (MA50 lângă MA200): Evită tranzacțiile în această zonă — risc maxim.</t>
        </is>
      </c>
    </row>
    <row r="1021" ht="20" customHeight="1" s="113">
      <c r="A1021" s="191" t="inlineStr">
        <is>
          <t xml:space="preserve">    ▸  EMA vs SMA — care e mai bună</t>
        </is>
      </c>
    </row>
    <row r="1022" ht="107" customHeight="1" s="113">
      <c r="A1022" s="192" t="inlineStr">
        <is>
          <t>SMA (Simple Moving Average): medie simplă — toate zilele au greutate egală
EMA (Exponential Moving Average): zilele recente au greutate mai mare
EMA reacționează MAI RAPID la schimbări de preț → mai puține semnale întârziate
SMA este mai STABILĂ și generează mai puțin zgomot
Recomandare practică: folosește EMA20, EMA50 pentru semnale, SMA200 pentru tendința majoră.</t>
        </is>
      </c>
    </row>
    <row r="1023" ht="6" customHeight="1" s="113">
      <c r="A1023" s="193" t="n"/>
      <c r="B1023" s="193" t="n"/>
      <c r="C1023" s="193" t="n"/>
    </row>
    <row r="1025" ht="28" customHeight="1" s="113">
      <c r="A1025" s="190" t="inlineStr">
        <is>
          <t xml:space="preserve">  BOLLINGER BANDS — Benzile lui Bollinger</t>
        </is>
      </c>
    </row>
    <row r="1026" ht="20" customHeight="1" s="113">
      <c r="A1026" s="191" t="inlineStr">
        <is>
          <t xml:space="preserve">    ▸  Structura benzilor</t>
        </is>
      </c>
    </row>
    <row r="1027" ht="120" customHeight="1" s="113">
      <c r="A1027" s="192" t="inlineStr">
        <is>
          <t>Trei linii calculate pe baza MA20 și deviației standard:
  Banda Superioară = MA20 + (2 × deviație standard)
  Banda Mijlocie   = MA20 (media mobilă simplă 20 zile)
  Banda Inferioară = MA20 - (2 × deviație standard)
Statistic: 95% din timp prețul se află ÎNTRE cele două benzi externe.
Benzile se LĂRGESC când volatilitatea crește și se ÎNGUSTEAZĂ când scade.</t>
        </is>
      </c>
    </row>
    <row r="1028" ht="20" customHeight="1" s="113">
      <c r="A1028" s="191" t="inlineStr">
        <is>
          <t xml:space="preserve">    ▸  Strategia Bollinger Bounce</t>
        </is>
      </c>
    </row>
    <row r="1029" ht="120" customHeight="1" s="113">
      <c r="A1029" s="192" t="inlineStr">
        <is>
          <t>Funcționează CEL MAI BINE în piețe LATERALE (sideways/range):
  BUY: când prețul atinge banda INFERIOARĂ → țintă banda mijlocie sau superioară
  SELL: când prețul atinge banda SUPERIOARĂ → țintă banda mijlocie sau inferioară
ATENȚIE CRITICĂ: NU aplica în trenduri puternice!
În uptrend, prețul poate 'plimba' banda superioară săptămâni întregi.
Vânzarea la banda superioară în uptrend = cea mai costisitoare greșeală.</t>
        </is>
      </c>
    </row>
    <row r="1030" ht="20" customHeight="1" s="113">
      <c r="A1030" s="191" t="inlineStr">
        <is>
          <t xml:space="preserve">    ▸  Strategia Bollinger Squeeze (Breakout)</t>
        </is>
      </c>
    </row>
    <row r="1031" ht="172" customHeight="1" s="113">
      <c r="A1031" s="192" t="inlineStr">
        <is>
          <t>Detectează momentul ÎNAINTEA unei mișcări mari:
SEMNALUL: Benzile devin foarte înguste (lățime sub 4% din preț)
CE URMEAZĂ: O explozie de volatilitate — nu știm direcția, dar mișcarea va fi mare.
EXECUȚIE:
  1. Identifică squeeze-ul (vizual: benzile aproape paralele)
  2. Plasează BUY STOP puțin deasupra benzii superioare
  3. Plasează SELL STOP puțin sub banda inferioară
  4. Cel activat = direcția breakout-ului → anulează imediat celălalt
Avantaj: intri DUPĂ confirmare, nu ghicești direcția.</t>
        </is>
      </c>
    </row>
    <row r="1032" ht="20" customHeight="1" s="113">
      <c r="A1032" s="191" t="inlineStr">
        <is>
          <t xml:space="preserve">    ▸  Benzile ca filtru de trend</t>
        </is>
      </c>
    </row>
    <row r="1033" ht="107" customHeight="1" s="113">
      <c r="A1033" s="192" t="inlineStr">
        <is>
          <t>PREȚ DEASUPRA benzii superioare constant = trend bullish puternic (pozitiv)
PREȚ DEDESUBT benzii inferioare constant = trend bearish puternic (negativ)
PREȚ OSCILÂND ÎNTRE BENZI = piață laterală, folosește bounce strategy
Lățimea benzilor ca indicator de piață:
Benzi LARGI = volatilitate ridicată, mișcări mari, risc crescut
Benzi ÎNGUSTE = volatilitate scăzută, piața se 'odihnește' → explozie iminentă</t>
        </is>
      </c>
    </row>
    <row r="1034" ht="6" customHeight="1" s="113">
      <c r="A1034" s="193" t="n"/>
      <c r="B1034" s="193" t="n"/>
      <c r="C1034" s="193" t="n"/>
    </row>
    <row r="1036" ht="28" customHeight="1" s="113">
      <c r="A1036" s="190" t="inlineStr">
        <is>
          <t xml:space="preserve">  VOLUM &amp; RVOL — Combustibilul mișcărilor de piață</t>
        </is>
      </c>
    </row>
    <row r="1037" ht="20" customHeight="1" s="113">
      <c r="A1037" s="191" t="inlineStr">
        <is>
          <t xml:space="preserve">    ▸  De ce volumul este fundamental</t>
        </is>
      </c>
    </row>
    <row r="1038" ht="107" customHeight="1" s="113">
      <c r="A1038" s="192" t="inlineStr">
        <is>
          <t>PREȚUL spune unde s-a dus piața.
VOLUMUL spune CÂT DE CONVINSĂ era piața de acea mișcare.
O mișcare de preț fără volum = neconvingătoare, probabilitate mare de inversare.
O mișcare de preț CU volum = participare reală, probabilitate mare de continuare.
Axioma nr. 1 a analizei tehnice: 'Volumul precedă prețul.'</t>
        </is>
      </c>
    </row>
    <row r="1039" ht="20" customHeight="1" s="113">
      <c r="A1039" s="191" t="inlineStr">
        <is>
          <t xml:space="preserve">    ▸  RVOL — Relative Volume</t>
        </is>
      </c>
    </row>
    <row r="1040" ht="107" customHeight="1" s="113">
      <c r="A1040" s="192" t="inlineStr">
        <is>
          <t>RVOL = Volum curent / Media volumului pe 20 de zile
  RVOL &gt; 2.0x → Volum EXCEPȚIONAL: eveniment major, instituții active
  RVOL 1.5-2.0x → Volum RIDICAT: mișcare de calitate superioară
  RVOL 1.0-1.5x → Volum NORMAL-RIDICAT: mișcare validă
  RVOL 0.7-1.0x → Volum NORMAL: nimic special
  RVOL &lt; 0.7x  → Volum SCĂZUT: mișcare suspectă, probabilitate fake-out</t>
        </is>
      </c>
    </row>
    <row r="1041" ht="20" customHeight="1" s="113">
      <c r="A1041" s="191" t="inlineStr">
        <is>
          <t xml:space="preserve">    ▸  Regulile de aur ale volumului</t>
        </is>
      </c>
    </row>
    <row r="1042" ht="198" customHeight="1" s="113">
      <c r="A1042" s="192" t="inlineStr">
        <is>
          <t>1. UPTREND SĂNĂTOS:
   Zilele UP → volum CRESCUT (bulls convinși)
   Zilele DOWN → volum SCĂZUT (pullback normal, bears nu convinși)
2. DOWNTREND SĂNĂTOS:
   Zilele DOWN → volum CRESCUT (bears convinși)
   Zilele UP → volum SCĂZUT (bear rally, nu inversare reală)
3. SEMN DE SLĂBIRE A TRENDULUI:
   Prețul face noi maxime dar VOLUMUL SCADE → divergență negativă
   = Distribuție (smart money vinde în timp ce retail cumpără)
4. BREAKOUT PE VOLUM MIC = CAPCANĂ (fake breakout)
   BREAKOUT PE VOLUM MARE = REAL, urmărește continuation</t>
        </is>
      </c>
    </row>
    <row r="1043" ht="20" customHeight="1" s="113">
      <c r="A1043" s="191" t="inlineStr">
        <is>
          <t xml:space="preserve">    ▸  Cum recunoști distribuția și acumularea</t>
        </is>
      </c>
    </row>
    <row r="1044" ht="133" customHeight="1" s="113">
      <c r="A1044" s="192" t="inlineStr">
        <is>
          <t>ACUMULARE (Smart Money cumpără discret):
  Prețul lateral sau ușor descendent + Zile de creștere cu volum mare
  + Zile de scădere cu volum mic → Bulls acumulează treptat
DISTRIBUȚIE (Smart Money vinde discret):
  Prețul lateral sau ușor ascendent + Zile de scădere cu volum mare
  + Zile de creștere cu volum mic → Bears distribuie pozițiile
Metodologia Wyckoff (1930, valabilă și azi) descrie aceste faze în detaliu.</t>
        </is>
      </c>
    </row>
    <row r="1045" ht="6" customHeight="1" s="113">
      <c r="A1045" s="193" t="n"/>
      <c r="B1045" s="193" t="n"/>
      <c r="C1045" s="193" t="n"/>
    </row>
    <row r="1047" ht="28" customHeight="1" s="113">
      <c r="A1047" s="190" t="inlineStr">
        <is>
          <t xml:space="preserve">  SUPORT &amp; REZISTENȚĂ — Nivelurile care controlează prețul</t>
        </is>
      </c>
    </row>
    <row r="1048" ht="20" customHeight="1" s="113">
      <c r="A1048" s="191" t="inlineStr">
        <is>
          <t xml:space="preserve">    ▸  Definiție și logică</t>
        </is>
      </c>
    </row>
    <row r="1049" ht="120" customHeight="1" s="113">
      <c r="A1049" s="192" t="inlineStr">
        <is>
          <t>SUPORT: Nivel de preț unde cumpărătorii intervin suficient de puternic pentru a OPRI și INVERSA scăderea.
REZISTENȚĂ: Nivel de preț unde vânzătorii intervin suficient de puternic pentru a OPRI și INVERSA creșterea.
De ce există aceste niveluri?
  → Memorie colectivă a pieței: traders care au cumpărat la un nivel      vor cumpăra din nou dacă prețul revine (confirmare psihologică)
  → Algoritmi programați să cumpere/vândă la niveluri istorice cheie
  → Ordine limită (limit orders) plasate în masă la niveluri rotunde</t>
        </is>
      </c>
    </row>
    <row r="1050" ht="20" customHeight="1" s="113">
      <c r="A1050" s="191" t="inlineStr">
        <is>
          <t xml:space="preserve">    ▸  Cum identifici nivelurile cheie</t>
        </is>
      </c>
    </row>
    <row r="1051" ht="185" customHeight="1" s="113">
      <c r="A1051" s="192" t="inlineStr">
        <is>
          <t>1. MAXIME și MINIME ANTERIOARE semnificative (pivots)
   → Cu cât mai recent și mai pronunțat, cu atât mai puternic
2. ZONE DE CONSOLIDARE (range): niveluri unde prețul a petrecut timp
   → Volumul tranzacționat în acea zonă = forța nivelului
3. NIVELURI PSIHOLOGICE ROTUNDE: 1000, 50.000, 100, 1.00
   → Oamenii plasează ordine la numere rotunde → self-fulfilling
4. MEDII MOBILE (dinamice): MA50, MA200
5. RETRACEMENT FIBONACCI: 38.2%, 50%, 61.8% din mișcarea anterioară
Regula: un nivel este PUTERNIC dacă a fost testat DE MULTIPLE ORI (min. 2-3x).</t>
        </is>
      </c>
    </row>
    <row r="1052" ht="20" customHeight="1" s="113">
      <c r="A1052" s="191" t="inlineStr">
        <is>
          <t xml:space="preserve">    ▸  Role Reversal — Regula de aur</t>
        </is>
      </c>
    </row>
    <row r="1053" ht="159" customHeight="1" s="113">
      <c r="A1053" s="192" t="inlineStr">
        <is>
          <t>SUPORTUL SPART devine REZISTENȚĂ.
REZISTENȚA SPARTĂ devine SUPORT.
Aceasta este una dintre cele mai puternice concepte din analiza tehnică.
Exemplu practic:
Prețul era susținut la 100 (suport). Sparge 100 → coboară la 85.
Prețul revine la 100 (bear rally) → acum 100 este REZISTENȚĂ.
Traderii care au cumpărat la 100 și sunt în pierdere VOR VINDE când prețul revine la 100 (breakeven) → generează presiune de vânzare la 100.
Role reversal = punct de intrare cu RISC REDUS și POTENȚIAL RIDICAT.</t>
        </is>
      </c>
    </row>
    <row r="1054" ht="20" customHeight="1" s="113">
      <c r="A1054" s="191" t="inlineStr">
        <is>
          <t xml:space="preserve">    ▸  Stop Loss optim față de suport/rezistență</t>
        </is>
      </c>
    </row>
    <row r="1055" ht="120" customHeight="1" s="113">
      <c r="A1055" s="192" t="inlineStr">
        <is>
          <t>NU plasa stop loss EXACT la nivelul de suport/rezistență.
Piața testează adesea nivelurile cu câteva procente înainte de inversare.
REGULA: Stop loss = nivelul de suport MINUS 1-3% (sau 1-2x ATR).
Exemplu: Suport la 100 → SL la 97-98 (lasă 'breathing room').
Un SL prea strâns = ești scos din tranzacție de 'zgomotul' normal al prețului, exact înainte ca prețul să revină în direcția ta. Frustrant și costisitor.</t>
        </is>
      </c>
    </row>
    <row r="1056" ht="6" customHeight="1" s="113">
      <c r="A1056" s="193" t="n"/>
      <c r="B1056" s="193" t="n"/>
      <c r="C1056" s="193" t="n"/>
    </row>
    <row r="1058" ht="28" customHeight="1" s="113">
      <c r="A1058" s="190" t="inlineStr">
        <is>
          <t xml:space="preserve">  MANAGEMENTUL RISCULUI — Regulile care separă profesioniștii de amatori</t>
        </is>
      </c>
    </row>
    <row r="1059" ht="20" customHeight="1" s="113">
      <c r="A1059" s="191" t="inlineStr">
        <is>
          <t xml:space="preserve">    ▸  Regula 1-2% per tranzacție</t>
        </is>
      </c>
    </row>
    <row r="1060" ht="198" customHeight="1" s="113">
      <c r="A1060" s="192" t="inlineStr">
        <is>
          <t>NU risca mai mult de 1-2% din capitalul total pe o singură tranzacție.
Exemplu cu capital 10.000 EUR:
  Risc per tranzacție (1%): 100 EUR
  Risc per tranzacție (2%): 200 EUR
Calculul MĂRIMII POZIȚIEI (Position Sizing):
  Mărime = Risc acceptat ÷ (Entry Price - Stop Loss Price)
Exemplu: Capital 10.000 EUR, Entry la 50 EUR, SL la 48 EUR, risc 1% (100 EUR)
  Mărime = 100 EUR ÷ (50 - 48) = 50 acțiuni
De ce contează: 10 pierderi consecutive la 2% = -18% capital (nu -20%)
Cu poziții de 10% per tranzacție: 10 pierderi = -65% (greu de recuperat)</t>
        </is>
      </c>
    </row>
    <row r="1061" ht="20" customHeight="1" s="113">
      <c r="A1061" s="191" t="inlineStr">
        <is>
          <t xml:space="preserve">    ▸  Risk/Reward Ratio (RR) — Matematica supraviețuirii</t>
        </is>
      </c>
    </row>
    <row r="1062" ht="159" customHeight="1" s="113">
      <c r="A1062" s="192" t="inlineStr">
        <is>
          <t>RR = (Take Profit - Entry) ÷ (Entry - Stop Loss)
Tabel matematic — win rate minim necesar pentru profitabilitate:
  RR = 1.0x → Win rate necesar &gt; 50% pentru profit
  RR = 1.5x → Win rate necesar &gt; 40% pentru profit
  RR = 2.0x → Win rate necesar &gt; 34% pentru profit
  RR = 3.0x → Win rate necesar &gt; 26% pentru profit
Concluzie: un RR bun îți permite să PIERZI MAI MULTE tranzacții decât câștigi și să rămâi profitabil. Acesta este secretul longevității în trading.
REGULA: Nu intra niciodată cu RR sub 1.5x. Ideal 2x sau mai mult.</t>
        </is>
      </c>
    </row>
    <row r="1063" ht="20" customHeight="1" s="113">
      <c r="A1063" s="191" t="inlineStr">
        <is>
          <t xml:space="preserve">    ▸  Diversificarea și corelația</t>
        </is>
      </c>
    </row>
    <row r="1064" ht="146" customHeight="1" s="113">
      <c r="A1064" s="192" t="inlineStr">
        <is>
          <t>Nu aloca mai mult de 10-15% din portofoliu pe un singur activ.
Nu aloca mai mult de 25-30% pe o singură clasă de active.
ATENȚIE LA CORELAȚIE:
Bitcoin și Ethereum sunt corelate 85-90% → nu sunt cu adevărat diversificate.
Acțiunile tech (NVIDIA, AMD, Intel) sunt corelate 70-80%.
Gold și S&amp;P500 sunt NEGATIV corelate în criză → gold = hedge real.
Diversificare adevărată înseamnă active care NU se mișcă în același timp:
  Exemple: Acțiuni + Obligațiuni + Gold + Valute + Materii prime</t>
        </is>
      </c>
    </row>
    <row r="1065" ht="20" customHeight="1" s="113">
      <c r="A1065" s="191" t="inlineStr">
        <is>
          <t xml:space="preserve">    ▸  Jurnalul de tranzacții — arma secretă</t>
        </is>
      </c>
    </row>
    <row r="1066" ht="198" customHeight="1" s="113">
      <c r="A1066" s="192" t="inlineStr">
        <is>
          <t>Cel mai subevaluat instrument în trading. Notează OBLIGATORIU:
  ÎNAINTE de tranzacție:
    → De ce intru? (setup, confluențe)
    → Care este teza? (ce trebuie să se întâmple pentru ca trade-ul să funcționeze)
    → Care este planul dacă mă înșel? (SL clar)
  DUPĂ tranzacție:
    → Ce s-a întâmplat? (a funcționat teza?)
    → Ce am simțit? (frică, FOMO, lăcomie, răbdare)
    → Am respectat planul?
    → Ce lecție extrag?
Traderii profesioniști analizează PIERDERILE mai mult decât câștigurile. Pierderile conțin informația cea mai valoroasă despre punctele slabe.</t>
        </is>
      </c>
    </row>
    <row r="1067" ht="20" customHeight="1" s="113">
      <c r="A1067" s="191" t="inlineStr">
        <is>
          <t xml:space="preserve">    ▸  Cele 10 reguli de aur ale traderului profesionist</t>
        </is>
      </c>
    </row>
    <row r="1068" ht="146" customHeight="1" s="113">
      <c r="A1068" s="192" t="inlineStr">
        <is>
          <t>1. Planifică tranzacția, tranzacționează planul.
2. Niciodată RR sub 1.5x — ideal 2x sau mai mult.
3. Niciodată mai mult de 2% risc din capital pe o tranzacție.
4. Confirmă breakout-urile cu VOLUMUL — fake breakouts costă scump.
5. Nu face averaging down neselectiv — 'ieftin' poate deveni 'mai ieftin'.
6. Lasă câștigătoarele să curgă, taie pierdătoarele rapid (contrar instinctului).
7. Nu tranzacționa din plictiseală sau din dorința de 'a fi activ'.
8. Nu revenge trade după o pierdere — ia o pauză.
9. Jurnalul de tranzacții este obligatoriu — dacă nu îl măsori, nu îl îmbunătățești.
10. Piața există și mâine — capitalul protejat = oportunități viitoare.</t>
        </is>
      </c>
    </row>
    <row r="1069" ht="6" customHeight="1" s="113">
      <c r="A1069" s="193" t="n"/>
      <c r="B1069" s="193" t="n"/>
      <c r="C1069" s="193" t="n"/>
    </row>
  </sheetData>
  <mergeCells count="866">
    <mergeCell ref="A128:C128"/>
    <mergeCell ref="A954:C954"/>
    <mergeCell ref="A255:C255"/>
    <mergeCell ref="A426:C426"/>
    <mergeCell ref="A364:C364"/>
    <mergeCell ref="A497:C497"/>
    <mergeCell ref="A557:C557"/>
    <mergeCell ref="A855:C855"/>
    <mergeCell ref="A484:C484"/>
    <mergeCell ref="A655:C655"/>
    <mergeCell ref="A720:C720"/>
    <mergeCell ref="A776:C776"/>
    <mergeCell ref="A21:C21"/>
    <mergeCell ref="A192:C192"/>
    <mergeCell ref="A847:C847"/>
    <mergeCell ref="A891:C891"/>
    <mergeCell ref="A1018:C1018"/>
    <mergeCell ref="A428:C428"/>
    <mergeCell ref="A57:C57"/>
    <mergeCell ref="A499:C499"/>
    <mergeCell ref="A415:C415"/>
    <mergeCell ref="A857:C857"/>
    <mergeCell ref="A657:C657"/>
    <mergeCell ref="A713:C713"/>
    <mergeCell ref="A784:C784"/>
    <mergeCell ref="A955:C955"/>
    <mergeCell ref="A949:C949"/>
    <mergeCell ref="A23:C23"/>
    <mergeCell ref="A1020:C1020"/>
    <mergeCell ref="A181:C181"/>
    <mergeCell ref="A479:C479"/>
    <mergeCell ref="A715:C715"/>
    <mergeCell ref="A52:C52"/>
    <mergeCell ref="A932:C932"/>
    <mergeCell ref="A481:C481"/>
    <mergeCell ref="A510:C510"/>
    <mergeCell ref="A352:C352"/>
    <mergeCell ref="A34:C34"/>
    <mergeCell ref="A83:C83"/>
    <mergeCell ref="A860:C860"/>
    <mergeCell ref="A568:C568"/>
    <mergeCell ref="A368:C368"/>
    <mergeCell ref="A639:C639"/>
    <mergeCell ref="A835:C835"/>
    <mergeCell ref="A49:C49"/>
    <mergeCell ref="A731:C731"/>
    <mergeCell ref="A110:C110"/>
    <mergeCell ref="A552:C552"/>
    <mergeCell ref="A408:C408"/>
    <mergeCell ref="A334:C334"/>
    <mergeCell ref="A383:C383"/>
    <mergeCell ref="A948:C948"/>
    <mergeCell ref="A837:C837"/>
    <mergeCell ref="A668:C668"/>
    <mergeCell ref="A174:C174"/>
    <mergeCell ref="A643:C643"/>
    <mergeCell ref="A914:C914"/>
    <mergeCell ref="A410:C410"/>
    <mergeCell ref="A708:C708"/>
    <mergeCell ref="A118:C118"/>
    <mergeCell ref="A968:C968"/>
    <mergeCell ref="A474:C474"/>
    <mergeCell ref="A645:C645"/>
    <mergeCell ref="A943:C943"/>
    <mergeCell ref="A55:C55"/>
    <mergeCell ref="A1008:C1008"/>
    <mergeCell ref="A263:C263"/>
    <mergeCell ref="A29:C29"/>
    <mergeCell ref="A200:C200"/>
    <mergeCell ref="A265:C265"/>
    <mergeCell ref="A121:C121"/>
    <mergeCell ref="A563:C563"/>
    <mergeCell ref="A357:C357"/>
    <mergeCell ref="A44:C44"/>
    <mergeCell ref="A550:C550"/>
    <mergeCell ref="A721:C721"/>
    <mergeCell ref="A848:C848"/>
    <mergeCell ref="A1019:C1019"/>
    <mergeCell ref="A786:C786"/>
    <mergeCell ref="A31:C31"/>
    <mergeCell ref="A202:C202"/>
    <mergeCell ref="A258:C258"/>
    <mergeCell ref="A329:C329"/>
    <mergeCell ref="A500:C500"/>
    <mergeCell ref="A919:C919"/>
    <mergeCell ref="A627:C627"/>
    <mergeCell ref="A798:C798"/>
    <mergeCell ref="A565:C565"/>
    <mergeCell ref="A736:C736"/>
    <mergeCell ref="A421:C421"/>
    <mergeCell ref="A663:C663"/>
    <mergeCell ref="A785:C785"/>
    <mergeCell ref="A24:C24"/>
    <mergeCell ref="A73:C73"/>
    <mergeCell ref="A266:C266"/>
    <mergeCell ref="A437:C437"/>
    <mergeCell ref="A850:C850"/>
    <mergeCell ref="A431:C431"/>
    <mergeCell ref="A60:C60"/>
    <mergeCell ref="A502:C502"/>
    <mergeCell ref="A564:C564"/>
    <mergeCell ref="A996:C996"/>
    <mergeCell ref="A629:C629"/>
    <mergeCell ref="A800:C800"/>
    <mergeCell ref="A787:C787"/>
    <mergeCell ref="A197:C197"/>
    <mergeCell ref="A422:C422"/>
    <mergeCell ref="A360:C360"/>
    <mergeCell ref="A957:C957"/>
    <mergeCell ref="A84:C84"/>
    <mergeCell ref="A385:C385"/>
    <mergeCell ref="A689:C689"/>
    <mergeCell ref="A578:C578"/>
    <mergeCell ref="A50:C50"/>
    <mergeCell ref="A434:C434"/>
    <mergeCell ref="A876:C876"/>
    <mergeCell ref="A86:C86"/>
    <mergeCell ref="A553:C553"/>
    <mergeCell ref="A42:C42"/>
    <mergeCell ref="A213:C213"/>
    <mergeCell ref="A151:C151"/>
    <mergeCell ref="A384:C384"/>
    <mergeCell ref="A449:C449"/>
    <mergeCell ref="A887:C887"/>
    <mergeCell ref="A188:C188"/>
    <mergeCell ref="A126:C126"/>
    <mergeCell ref="A989:C989"/>
    <mergeCell ref="A878:C878"/>
    <mergeCell ref="A734:C734"/>
    <mergeCell ref="A1032:C1032"/>
    <mergeCell ref="A144:C144"/>
    <mergeCell ref="A411:C411"/>
    <mergeCell ref="A386:C386"/>
    <mergeCell ref="A853:C853"/>
    <mergeCell ref="A709:C709"/>
    <mergeCell ref="A513:C513"/>
    <mergeCell ref="A880:C880"/>
    <mergeCell ref="A945:C945"/>
    <mergeCell ref="A190:C190"/>
    <mergeCell ref="A152:C152"/>
    <mergeCell ref="A724:C724"/>
    <mergeCell ref="A711:C711"/>
    <mergeCell ref="A686:C686"/>
    <mergeCell ref="A882:C882"/>
    <mergeCell ref="A953:C953"/>
    <mergeCell ref="A490:C490"/>
    <mergeCell ref="A477:C477"/>
    <mergeCell ref="A291:C291"/>
    <mergeCell ref="A79:C79"/>
    <mergeCell ref="A589:C589"/>
    <mergeCell ref="A856:C856"/>
    <mergeCell ref="A635:C635"/>
    <mergeCell ref="A806:C806"/>
    <mergeCell ref="A355:C355"/>
    <mergeCell ref="A871:C871"/>
    <mergeCell ref="A1029:C1029"/>
    <mergeCell ref="A330:C330"/>
    <mergeCell ref="A379:C379"/>
    <mergeCell ref="A268:C268"/>
    <mergeCell ref="A501:C501"/>
    <mergeCell ref="A572:C572"/>
    <mergeCell ref="A566:C566"/>
    <mergeCell ref="A366:C366"/>
    <mergeCell ref="A737:C737"/>
    <mergeCell ref="A397:C397"/>
    <mergeCell ref="A664:C664"/>
    <mergeCell ref="A808:C808"/>
    <mergeCell ref="A864:C864"/>
    <mergeCell ref="A935:C935"/>
    <mergeCell ref="A74:C74"/>
    <mergeCell ref="A1022:C1022"/>
    <mergeCell ref="A145:C145"/>
    <mergeCell ref="A443:C443"/>
    <mergeCell ref="A503:C503"/>
    <mergeCell ref="A630:C630"/>
    <mergeCell ref="A679:C679"/>
    <mergeCell ref="A866:C866"/>
    <mergeCell ref="A666:C666"/>
    <mergeCell ref="A1037:C1037"/>
    <mergeCell ref="A964:C964"/>
    <mergeCell ref="A76:C76"/>
    <mergeCell ref="A203:C203"/>
    <mergeCell ref="A374:C374"/>
    <mergeCell ref="A361:C361"/>
    <mergeCell ref="A803:C803"/>
    <mergeCell ref="A790:C790"/>
    <mergeCell ref="A140:C140"/>
    <mergeCell ref="A311:C311"/>
    <mergeCell ref="A661:C661"/>
    <mergeCell ref="A584:C584"/>
    <mergeCell ref="A755:C755"/>
    <mergeCell ref="A1053:C1053"/>
    <mergeCell ref="A742:C742"/>
    <mergeCell ref="A913:C913"/>
    <mergeCell ref="A1040:C1040"/>
    <mergeCell ref="A279:C279"/>
    <mergeCell ref="A350:C350"/>
    <mergeCell ref="A521:C521"/>
    <mergeCell ref="A692:C692"/>
    <mergeCell ref="A757:C757"/>
    <mergeCell ref="A879:C879"/>
    <mergeCell ref="A300:C300"/>
    <mergeCell ref="A977:C977"/>
    <mergeCell ref="A982:C982"/>
    <mergeCell ref="A45:C45"/>
    <mergeCell ref="A94:C94"/>
    <mergeCell ref="A287:C287"/>
    <mergeCell ref="A343:C343"/>
    <mergeCell ref="A458:C458"/>
    <mergeCell ref="A452:C452"/>
    <mergeCell ref="A585:C585"/>
    <mergeCell ref="A523:C523"/>
    <mergeCell ref="A756:C756"/>
    <mergeCell ref="A1017:C1017"/>
    <mergeCell ref="A821:C821"/>
    <mergeCell ref="A992:C992"/>
    <mergeCell ref="A677:C677"/>
    <mergeCell ref="A427:C427"/>
    <mergeCell ref="A87:C87"/>
    <mergeCell ref="A979:C979"/>
    <mergeCell ref="A218:C218"/>
    <mergeCell ref="A345:C345"/>
    <mergeCell ref="A316:C316"/>
    <mergeCell ref="A610:C610"/>
    <mergeCell ref="A46:C46"/>
    <mergeCell ref="A89:C89"/>
    <mergeCell ref="A105:C105"/>
    <mergeCell ref="A376:C376"/>
    <mergeCell ref="A468:C468"/>
    <mergeCell ref="A71:C71"/>
    <mergeCell ref="A897:C897"/>
    <mergeCell ref="A313:C313"/>
    <mergeCell ref="A307:C307"/>
    <mergeCell ref="A574:C574"/>
    <mergeCell ref="A234:C234"/>
    <mergeCell ref="A405:C405"/>
    <mergeCell ref="A872:C872"/>
    <mergeCell ref="A641:C641"/>
    <mergeCell ref="A184:C184"/>
    <mergeCell ref="A451:C451"/>
    <mergeCell ref="A371:C371"/>
    <mergeCell ref="A926:C926"/>
    <mergeCell ref="A613:C613"/>
    <mergeCell ref="A165:C165"/>
    <mergeCell ref="A432:C432"/>
    <mergeCell ref="A407:C407"/>
    <mergeCell ref="A911:C911"/>
    <mergeCell ref="A730:C730"/>
    <mergeCell ref="A901:C901"/>
    <mergeCell ref="A966:C966"/>
    <mergeCell ref="A382:C382"/>
    <mergeCell ref="A569:C569"/>
    <mergeCell ref="A173:C173"/>
    <mergeCell ref="A229:C229"/>
    <mergeCell ref="A811:C811"/>
    <mergeCell ref="A965:C965"/>
    <mergeCell ref="A77:C77"/>
    <mergeCell ref="A732:C732"/>
    <mergeCell ref="A148:C148"/>
    <mergeCell ref="A769:C769"/>
    <mergeCell ref="A903:C903"/>
    <mergeCell ref="A1030:C1030"/>
    <mergeCell ref="A980:C980"/>
    <mergeCell ref="A1027:C1027"/>
    <mergeCell ref="A967:C967"/>
    <mergeCell ref="A6:C6"/>
    <mergeCell ref="A733:C733"/>
    <mergeCell ref="A66:C66"/>
    <mergeCell ref="A351:C351"/>
    <mergeCell ref="A522:C522"/>
    <mergeCell ref="A698:C698"/>
    <mergeCell ref="A120:C120"/>
    <mergeCell ref="A3:C3"/>
    <mergeCell ref="A587:C587"/>
    <mergeCell ref="A758:C758"/>
    <mergeCell ref="A301:C301"/>
    <mergeCell ref="A685:C685"/>
    <mergeCell ref="A239:C239"/>
    <mergeCell ref="A745:C745"/>
    <mergeCell ref="A95:C95"/>
    <mergeCell ref="A1043:C1043"/>
    <mergeCell ref="A393:C393"/>
    <mergeCell ref="A331:C331"/>
    <mergeCell ref="A464:C464"/>
    <mergeCell ref="A524:C524"/>
    <mergeCell ref="A651:C651"/>
    <mergeCell ref="A822:C822"/>
    <mergeCell ref="A993:C993"/>
    <mergeCell ref="A5:C5"/>
    <mergeCell ref="A616:C616"/>
    <mergeCell ref="A32:C32"/>
    <mergeCell ref="A1058:C1058"/>
    <mergeCell ref="A159:C159"/>
    <mergeCell ref="A601:C601"/>
    <mergeCell ref="A97:C97"/>
    <mergeCell ref="A219:C219"/>
    <mergeCell ref="A290:C290"/>
    <mergeCell ref="A224:C224"/>
    <mergeCell ref="A395:C395"/>
    <mergeCell ref="A588:C588"/>
    <mergeCell ref="A693:C693"/>
    <mergeCell ref="A759:C759"/>
    <mergeCell ref="A985:C985"/>
    <mergeCell ref="A824:C824"/>
    <mergeCell ref="A995:C995"/>
    <mergeCell ref="A96:C96"/>
    <mergeCell ref="A916:C916"/>
    <mergeCell ref="A332:C332"/>
    <mergeCell ref="A799:C799"/>
    <mergeCell ref="A288:C288"/>
    <mergeCell ref="A459:C459"/>
    <mergeCell ref="A617:C617"/>
    <mergeCell ref="A1011:C1011"/>
    <mergeCell ref="A123:C123"/>
    <mergeCell ref="A900:C900"/>
    <mergeCell ref="A250:C250"/>
    <mergeCell ref="A492:C492"/>
    <mergeCell ref="A998:C998"/>
    <mergeCell ref="A535:C535"/>
    <mergeCell ref="A473:C473"/>
    <mergeCell ref="A606:C606"/>
    <mergeCell ref="A644:C644"/>
    <mergeCell ref="A212:C212"/>
    <mergeCell ref="A16:C16"/>
    <mergeCell ref="A187:C187"/>
    <mergeCell ref="A777:C777"/>
    <mergeCell ref="A485:C485"/>
    <mergeCell ref="A619:C619"/>
    <mergeCell ref="A423:C423"/>
    <mergeCell ref="A690:C690"/>
    <mergeCell ref="A108:C108"/>
    <mergeCell ref="A746:C746"/>
    <mergeCell ref="A752:C752"/>
    <mergeCell ref="A988:C988"/>
    <mergeCell ref="A1006:C1006"/>
    <mergeCell ref="A214:C214"/>
    <mergeCell ref="A18:C18"/>
    <mergeCell ref="A189:C189"/>
    <mergeCell ref="A456:C456"/>
    <mergeCell ref="A487:C487"/>
    <mergeCell ref="A512:C512"/>
    <mergeCell ref="A683:C683"/>
    <mergeCell ref="A306:C306"/>
    <mergeCell ref="A754:C754"/>
    <mergeCell ref="A1052:C1052"/>
    <mergeCell ref="A1033:C1033"/>
    <mergeCell ref="A278:C278"/>
    <mergeCell ref="A22:C22"/>
    <mergeCell ref="A970:C970"/>
    <mergeCell ref="A893:C893"/>
    <mergeCell ref="A1064:C1064"/>
    <mergeCell ref="A134:C134"/>
    <mergeCell ref="A401:C401"/>
    <mergeCell ref="A1066:C1066"/>
    <mergeCell ref="A922:C922"/>
    <mergeCell ref="A167:C167"/>
    <mergeCell ref="A701:C701"/>
    <mergeCell ref="A590:C590"/>
    <mergeCell ref="A894:C894"/>
    <mergeCell ref="A832:C832"/>
    <mergeCell ref="A888:C888"/>
    <mergeCell ref="A688:C688"/>
    <mergeCell ref="A937:C937"/>
    <mergeCell ref="A1003:C1003"/>
    <mergeCell ref="A986:C986"/>
    <mergeCell ref="A98:C98"/>
    <mergeCell ref="A540:C540"/>
    <mergeCell ref="A169:C169"/>
    <mergeCell ref="A225:C225"/>
    <mergeCell ref="A396:C396"/>
    <mergeCell ref="A467:C467"/>
    <mergeCell ref="A638:C638"/>
    <mergeCell ref="A924:C924"/>
    <mergeCell ref="A632:C632"/>
    <mergeCell ref="A936:C936"/>
    <mergeCell ref="A703:C703"/>
    <mergeCell ref="A825:C825"/>
    <mergeCell ref="A1067:C1067"/>
    <mergeCell ref="A861:C861"/>
    <mergeCell ref="A162:C162"/>
    <mergeCell ref="A398:C398"/>
    <mergeCell ref="A177:C177"/>
    <mergeCell ref="A925:C925"/>
    <mergeCell ref="A164:C164"/>
    <mergeCell ref="A335:C335"/>
    <mergeCell ref="A556:C556"/>
    <mergeCell ref="A543:C543"/>
    <mergeCell ref="A714:C714"/>
    <mergeCell ref="A779:C779"/>
    <mergeCell ref="A195:C195"/>
    <mergeCell ref="A251:C251"/>
    <mergeCell ref="A322:C322"/>
    <mergeCell ref="A116:C116"/>
    <mergeCell ref="A558:C558"/>
    <mergeCell ref="A309:C309"/>
    <mergeCell ref="A545:C545"/>
    <mergeCell ref="A17:C17"/>
    <mergeCell ref="A843:C843"/>
    <mergeCell ref="A1014:C1014"/>
    <mergeCell ref="A253:C253"/>
    <mergeCell ref="A53:C53"/>
    <mergeCell ref="A109:C109"/>
    <mergeCell ref="A324:C324"/>
    <mergeCell ref="A180:C180"/>
    <mergeCell ref="A495:C495"/>
    <mergeCell ref="A240:C240"/>
    <mergeCell ref="A622:C622"/>
    <mergeCell ref="A1060:C1060"/>
    <mergeCell ref="A416:C416"/>
    <mergeCell ref="A609:C609"/>
    <mergeCell ref="A780:C780"/>
    <mergeCell ref="A774:C774"/>
    <mergeCell ref="A19:C19"/>
    <mergeCell ref="A68:C68"/>
    <mergeCell ref="A845:C845"/>
    <mergeCell ref="A1016:C1016"/>
    <mergeCell ref="A117:C117"/>
    <mergeCell ref="A1041:C1041"/>
    <mergeCell ref="A111:C111"/>
    <mergeCell ref="A353:C353"/>
    <mergeCell ref="A480:C480"/>
    <mergeCell ref="A328:C328"/>
    <mergeCell ref="A319:C319"/>
    <mergeCell ref="A1055:C1055"/>
    <mergeCell ref="A142:C142"/>
    <mergeCell ref="A628:C628"/>
    <mergeCell ref="A869:C869"/>
    <mergeCell ref="A442:C442"/>
    <mergeCell ref="A1007:C1007"/>
    <mergeCell ref="A429:C429"/>
    <mergeCell ref="A233:C233"/>
    <mergeCell ref="A208:C208"/>
    <mergeCell ref="A963:C963"/>
    <mergeCell ref="A531:C531"/>
    <mergeCell ref="A702:C702"/>
    <mergeCell ref="A469:C469"/>
    <mergeCell ref="A640:C640"/>
    <mergeCell ref="A773:C773"/>
    <mergeCell ref="A767:C767"/>
    <mergeCell ref="A938:C938"/>
    <mergeCell ref="A1009:C1009"/>
    <mergeCell ref="A729:C729"/>
    <mergeCell ref="A297:C297"/>
    <mergeCell ref="A272:C272"/>
    <mergeCell ref="A235:C235"/>
    <mergeCell ref="A210:C210"/>
    <mergeCell ref="A406:C406"/>
    <mergeCell ref="A533:C533"/>
    <mergeCell ref="A704:C704"/>
    <mergeCell ref="A775:C775"/>
    <mergeCell ref="A831:C831"/>
    <mergeCell ref="A247:C247"/>
    <mergeCell ref="A875:C875"/>
    <mergeCell ref="A185:C185"/>
    <mergeCell ref="A946:C946"/>
    <mergeCell ref="A470:C470"/>
    <mergeCell ref="A597:C597"/>
    <mergeCell ref="A768:C768"/>
    <mergeCell ref="A833:C833"/>
    <mergeCell ref="A1004:C1004"/>
    <mergeCell ref="A43:C43"/>
    <mergeCell ref="A63:C63"/>
    <mergeCell ref="A770:C770"/>
    <mergeCell ref="A941:C941"/>
    <mergeCell ref="A130:C130"/>
    <mergeCell ref="A956:C956"/>
    <mergeCell ref="A261:C261"/>
    <mergeCell ref="A795:C795"/>
    <mergeCell ref="A546:C546"/>
    <mergeCell ref="A722:C722"/>
    <mergeCell ref="A138:C138"/>
    <mergeCell ref="A844:C844"/>
    <mergeCell ref="A915:C915"/>
    <mergeCell ref="A132:C132"/>
    <mergeCell ref="A909:C909"/>
    <mergeCell ref="A496:C496"/>
    <mergeCell ref="A430:C430"/>
    <mergeCell ref="A1015:C1015"/>
    <mergeCell ref="A119:C119"/>
    <mergeCell ref="A561:C561"/>
    <mergeCell ref="A417:C417"/>
    <mergeCell ref="A859:C859"/>
    <mergeCell ref="A488:C488"/>
    <mergeCell ref="A653:C653"/>
    <mergeCell ref="A846:C846"/>
    <mergeCell ref="A196:C196"/>
    <mergeCell ref="A367:C367"/>
    <mergeCell ref="A256:C256"/>
    <mergeCell ref="A498:C498"/>
    <mergeCell ref="A354:C354"/>
    <mergeCell ref="A796:C796"/>
    <mergeCell ref="A652:C652"/>
    <mergeCell ref="A419:C419"/>
    <mergeCell ref="A133:C133"/>
    <mergeCell ref="A910:C910"/>
    <mergeCell ref="A264:C264"/>
    <mergeCell ref="A198:C198"/>
    <mergeCell ref="A667:C667"/>
    <mergeCell ref="A418:C418"/>
    <mergeCell ref="A356:C356"/>
    <mergeCell ref="A654:C654"/>
    <mergeCell ref="A719:C719"/>
    <mergeCell ref="A1042:C1042"/>
    <mergeCell ref="A748:C748"/>
    <mergeCell ref="A514:C514"/>
    <mergeCell ref="A38:C38"/>
    <mergeCell ref="A209:C209"/>
    <mergeCell ref="A147:C147"/>
    <mergeCell ref="A280:C280"/>
    <mergeCell ref="A274:C274"/>
    <mergeCell ref="A445:C445"/>
    <mergeCell ref="A13:C13"/>
    <mergeCell ref="A372:C372"/>
    <mergeCell ref="A743:C743"/>
    <mergeCell ref="A814:C814"/>
    <mergeCell ref="A1010:C1010"/>
    <mergeCell ref="A801:C801"/>
    <mergeCell ref="A40:C40"/>
    <mergeCell ref="A211:C211"/>
    <mergeCell ref="A67:C67"/>
    <mergeCell ref="A338:C338"/>
    <mergeCell ref="A509:C509"/>
    <mergeCell ref="A534:C534"/>
    <mergeCell ref="A186:C186"/>
    <mergeCell ref="A257:C257"/>
    <mergeCell ref="A672:C672"/>
    <mergeCell ref="A555:C555"/>
    <mergeCell ref="A51:C51"/>
    <mergeCell ref="A82:C82"/>
    <mergeCell ref="A349:C349"/>
    <mergeCell ref="A275:C275"/>
    <mergeCell ref="A536:C536"/>
    <mergeCell ref="A340:C340"/>
    <mergeCell ref="A511:C511"/>
    <mergeCell ref="A707:C707"/>
    <mergeCell ref="A778:C778"/>
    <mergeCell ref="A809:C809"/>
    <mergeCell ref="A486:C486"/>
    <mergeCell ref="A870:C870"/>
    <mergeCell ref="A146:C146"/>
    <mergeCell ref="A649:C649"/>
    <mergeCell ref="A947:C947"/>
    <mergeCell ref="A836:C836"/>
    <mergeCell ref="A252:C252"/>
    <mergeCell ref="A567:C567"/>
    <mergeCell ref="A865:C865"/>
    <mergeCell ref="A930:C930"/>
    <mergeCell ref="A438:C438"/>
    <mergeCell ref="A158:C158"/>
    <mergeCell ref="A867:C867"/>
    <mergeCell ref="A723:C723"/>
    <mergeCell ref="A959:C959"/>
    <mergeCell ref="A440:C440"/>
    <mergeCell ref="A562:C562"/>
    <mergeCell ref="A489:C489"/>
    <mergeCell ref="A598:C598"/>
    <mergeCell ref="A725:C725"/>
    <mergeCell ref="A141:C141"/>
    <mergeCell ref="A439:C439"/>
    <mergeCell ref="A206:C206"/>
    <mergeCell ref="A262:C262"/>
    <mergeCell ref="A62:C62"/>
    <mergeCell ref="A377:C377"/>
    <mergeCell ref="A122:C122"/>
    <mergeCell ref="A433:C433"/>
    <mergeCell ref="A802:C802"/>
    <mergeCell ref="A420:C420"/>
    <mergeCell ref="A591:C591"/>
    <mergeCell ref="A491:C491"/>
    <mergeCell ref="A662:C662"/>
    <mergeCell ref="A868:C868"/>
    <mergeCell ref="A789:C789"/>
    <mergeCell ref="A72:C72"/>
    <mergeCell ref="A849:C849"/>
    <mergeCell ref="A960:C960"/>
    <mergeCell ref="A28:C28"/>
    <mergeCell ref="A199:C199"/>
    <mergeCell ref="A1025:C1025"/>
    <mergeCell ref="A506:C506"/>
    <mergeCell ref="A362:C362"/>
    <mergeCell ref="A726:C726"/>
    <mergeCell ref="A791:C791"/>
    <mergeCell ref="A30:C30"/>
    <mergeCell ref="A580:C580"/>
    <mergeCell ref="A751:C751"/>
    <mergeCell ref="A987:C987"/>
    <mergeCell ref="A61:C61"/>
    <mergeCell ref="A88:C88"/>
    <mergeCell ref="A1036:C1036"/>
    <mergeCell ref="A153:C153"/>
    <mergeCell ref="A346:C346"/>
    <mergeCell ref="A517:C517"/>
    <mergeCell ref="A753:C753"/>
    <mergeCell ref="A54:C54"/>
    <mergeCell ref="A1051:C1051"/>
    <mergeCell ref="A674:C674"/>
    <mergeCell ref="A41:C41"/>
    <mergeCell ref="A90:C90"/>
    <mergeCell ref="A283:C283"/>
    <mergeCell ref="A217:C217"/>
    <mergeCell ref="A388:C388"/>
    <mergeCell ref="A277:C277"/>
    <mergeCell ref="A1038:C1038"/>
    <mergeCell ref="A519:C519"/>
    <mergeCell ref="A575:C575"/>
    <mergeCell ref="A375:C375"/>
    <mergeCell ref="A842:C842"/>
    <mergeCell ref="A944:C944"/>
    <mergeCell ref="A56:C56"/>
    <mergeCell ref="A27:C27"/>
    <mergeCell ref="A611:C611"/>
    <mergeCell ref="A154:C154"/>
    <mergeCell ref="A285:C285"/>
    <mergeCell ref="A341:C341"/>
    <mergeCell ref="A390:C390"/>
    <mergeCell ref="A583:C583"/>
    <mergeCell ref="A129:C129"/>
    <mergeCell ref="A586:C586"/>
    <mergeCell ref="A577:C577"/>
    <mergeCell ref="A675:C675"/>
    <mergeCell ref="A85:C85"/>
    <mergeCell ref="A650:C650"/>
    <mergeCell ref="A886:C886"/>
    <mergeCell ref="A131:C131"/>
    <mergeCell ref="A665:C665"/>
    <mergeCell ref="A230:C230"/>
    <mergeCell ref="A295:C295"/>
    <mergeCell ref="A466:C466"/>
    <mergeCell ref="A764:C764"/>
    <mergeCell ref="A9:C9"/>
    <mergeCell ref="A143:C143"/>
    <mergeCell ref="A276:C276"/>
    <mergeCell ref="A1031:C1031"/>
    <mergeCell ref="A441:C441"/>
    <mergeCell ref="A810:C810"/>
    <mergeCell ref="A232:C232"/>
    <mergeCell ref="A530:C530"/>
    <mergeCell ref="A797:C797"/>
    <mergeCell ref="A207:C207"/>
    <mergeCell ref="A11:C11"/>
    <mergeCell ref="A1:C1"/>
    <mergeCell ref="A576:C576"/>
    <mergeCell ref="A741:C741"/>
    <mergeCell ref="A296:C296"/>
    <mergeCell ref="A812:C812"/>
    <mergeCell ref="A1039:C1039"/>
    <mergeCell ref="A532:C532"/>
    <mergeCell ref="A78:C78"/>
    <mergeCell ref="A1026:C1026"/>
    <mergeCell ref="A65:C65"/>
    <mergeCell ref="A507:C507"/>
    <mergeCell ref="A678:C678"/>
    <mergeCell ref="A363:C363"/>
    <mergeCell ref="A634:C634"/>
    <mergeCell ref="A792:C792"/>
    <mergeCell ref="A1028:C1028"/>
    <mergeCell ref="A273:C273"/>
    <mergeCell ref="A378:C378"/>
    <mergeCell ref="A444:C444"/>
    <mergeCell ref="A365:C365"/>
    <mergeCell ref="A807:C807"/>
    <mergeCell ref="A823:C823"/>
    <mergeCell ref="A179:C179"/>
    <mergeCell ref="A302:C302"/>
    <mergeCell ref="A298:C298"/>
    <mergeCell ref="A881:C881"/>
    <mergeCell ref="A389:C389"/>
    <mergeCell ref="A660:C660"/>
    <mergeCell ref="A156:C156"/>
    <mergeCell ref="A327:C327"/>
    <mergeCell ref="A1044:C1044"/>
    <mergeCell ref="A454:C454"/>
    <mergeCell ref="A525:C525"/>
    <mergeCell ref="A696:C696"/>
    <mergeCell ref="A818:C818"/>
    <mergeCell ref="A889:C889"/>
    <mergeCell ref="A612:C612"/>
    <mergeCell ref="A883:C883"/>
    <mergeCell ref="A299:C299"/>
    <mergeCell ref="A994:C994"/>
    <mergeCell ref="A155:C155"/>
    <mergeCell ref="A981:C981"/>
    <mergeCell ref="A93:C93"/>
    <mergeCell ref="A1054:C1054"/>
    <mergeCell ref="A220:C220"/>
    <mergeCell ref="A858:C858"/>
    <mergeCell ref="A633:C633"/>
    <mergeCell ref="A518:C518"/>
    <mergeCell ref="A820:C820"/>
    <mergeCell ref="A676:C676"/>
    <mergeCell ref="A747:C747"/>
    <mergeCell ref="A912:C912"/>
    <mergeCell ref="A157:C157"/>
    <mergeCell ref="A599:C599"/>
    <mergeCell ref="A983:C983"/>
    <mergeCell ref="A284:C284"/>
    <mergeCell ref="A455:C455"/>
    <mergeCell ref="A222:C222"/>
    <mergeCell ref="A520:C520"/>
    <mergeCell ref="A691:C691"/>
    <mergeCell ref="A958:C958"/>
    <mergeCell ref="A457:C457"/>
    <mergeCell ref="A718:C718"/>
    <mergeCell ref="A551:C551"/>
    <mergeCell ref="A75:C75"/>
    <mergeCell ref="A246:C246"/>
    <mergeCell ref="A317:C317"/>
    <mergeCell ref="A409:C409"/>
    <mergeCell ref="A1047:C1047"/>
    <mergeCell ref="A602:C602"/>
    <mergeCell ref="A596:C596"/>
    <mergeCell ref="A12:C12"/>
    <mergeCell ref="A838:C838"/>
    <mergeCell ref="A1065:C1065"/>
    <mergeCell ref="A104:C104"/>
    <mergeCell ref="A175:C175"/>
    <mergeCell ref="A813:C813"/>
    <mergeCell ref="A607:C607"/>
    <mergeCell ref="A1049:C1049"/>
    <mergeCell ref="A321:C321"/>
    <mergeCell ref="A631:C631"/>
    <mergeCell ref="A902:C902"/>
    <mergeCell ref="A508:C508"/>
    <mergeCell ref="A312:C312"/>
    <mergeCell ref="A579:C579"/>
    <mergeCell ref="A106:C106"/>
    <mergeCell ref="A373:C373"/>
    <mergeCell ref="A573:C573"/>
    <mergeCell ref="A404:C404"/>
    <mergeCell ref="A671:C671"/>
    <mergeCell ref="A744:C744"/>
    <mergeCell ref="A877:C877"/>
    <mergeCell ref="A969:C969"/>
    <mergeCell ref="A323:C323"/>
    <mergeCell ref="A621:C621"/>
    <mergeCell ref="A942:C942"/>
    <mergeCell ref="A170:C170"/>
    <mergeCell ref="A735:C735"/>
    <mergeCell ref="A289:C289"/>
    <mergeCell ref="A673:C673"/>
    <mergeCell ref="A971:C971"/>
    <mergeCell ref="A201:C201"/>
    <mergeCell ref="A462:C462"/>
    <mergeCell ref="A931:C931"/>
    <mergeCell ref="A1062:C1062"/>
    <mergeCell ref="A241:C241"/>
    <mergeCell ref="A1059:C1059"/>
    <mergeCell ref="A228:C228"/>
    <mergeCell ref="A399:C399"/>
    <mergeCell ref="A697:C697"/>
    <mergeCell ref="A762:C762"/>
    <mergeCell ref="A7:C7"/>
    <mergeCell ref="A933:C933"/>
    <mergeCell ref="A305:C305"/>
    <mergeCell ref="A243:C243"/>
    <mergeCell ref="A920:C920"/>
    <mergeCell ref="A99:C99"/>
    <mergeCell ref="A221:C221"/>
    <mergeCell ref="A463:C463"/>
    <mergeCell ref="A286:C286"/>
    <mergeCell ref="A899:C899"/>
    <mergeCell ref="A528:C528"/>
    <mergeCell ref="A699:C699"/>
    <mergeCell ref="A826:C826"/>
    <mergeCell ref="A997:C997"/>
    <mergeCell ref="A236:C236"/>
    <mergeCell ref="A984:C984"/>
    <mergeCell ref="A163:C163"/>
    <mergeCell ref="A101:C101"/>
    <mergeCell ref="A223:C223"/>
    <mergeCell ref="A294:C294"/>
    <mergeCell ref="A394:C394"/>
    <mergeCell ref="A465:C465"/>
    <mergeCell ref="A763:C763"/>
    <mergeCell ref="A934:C934"/>
    <mergeCell ref="A890:C890"/>
    <mergeCell ref="A1061:C1061"/>
    <mergeCell ref="A828:C828"/>
    <mergeCell ref="A999:C999"/>
    <mergeCell ref="A1048:C1048"/>
    <mergeCell ref="A254:C254"/>
    <mergeCell ref="A740:C740"/>
    <mergeCell ref="A20:C20"/>
    <mergeCell ref="A318:C318"/>
    <mergeCell ref="A112:C112"/>
    <mergeCell ref="A554:C554"/>
    <mergeCell ref="A923:C923"/>
    <mergeCell ref="A541:C541"/>
    <mergeCell ref="A475:C475"/>
    <mergeCell ref="A646:C646"/>
    <mergeCell ref="A839:C839"/>
    <mergeCell ref="A127:C127"/>
    <mergeCell ref="A904:C904"/>
    <mergeCell ref="A320:C320"/>
    <mergeCell ref="A176:C176"/>
    <mergeCell ref="A618:C618"/>
    <mergeCell ref="A412:C412"/>
    <mergeCell ref="A854:C854"/>
    <mergeCell ref="A605:C605"/>
    <mergeCell ref="A539:C539"/>
    <mergeCell ref="A710:C710"/>
    <mergeCell ref="A952:C952"/>
    <mergeCell ref="A64:C64"/>
    <mergeCell ref="A1050:C1050"/>
    <mergeCell ref="A387:C387"/>
    <mergeCell ref="A191:C191"/>
    <mergeCell ref="A107:C107"/>
    <mergeCell ref="A623:C623"/>
    <mergeCell ref="A178:C178"/>
    <mergeCell ref="A620:C620"/>
    <mergeCell ref="A921:C921"/>
    <mergeCell ref="A476:C476"/>
    <mergeCell ref="A908:C908"/>
    <mergeCell ref="A712:C712"/>
    <mergeCell ref="A905:C905"/>
    <mergeCell ref="A687:C687"/>
    <mergeCell ref="A478:C478"/>
    <mergeCell ref="A453:C453"/>
    <mergeCell ref="A624:C624"/>
    <mergeCell ref="A267:C267"/>
    <mergeCell ref="A1021:C1021"/>
    <mergeCell ref="A242:C242"/>
    <mergeCell ref="A1068:C1068"/>
    <mergeCell ref="A788:C788"/>
    <mergeCell ref="A33:C33"/>
    <mergeCell ref="A269:C269"/>
    <mergeCell ref="A8:C8"/>
    <mergeCell ref="A834:C834"/>
    <mergeCell ref="A1005:C1005"/>
    <mergeCell ref="A244:C244"/>
    <mergeCell ref="A100:C100"/>
    <mergeCell ref="A542:C542"/>
    <mergeCell ref="A342:C342"/>
    <mergeCell ref="A231:C231"/>
    <mergeCell ref="A35:C35"/>
    <mergeCell ref="A529:C529"/>
    <mergeCell ref="A333:C333"/>
    <mergeCell ref="A600:C600"/>
    <mergeCell ref="A656:C656"/>
    <mergeCell ref="A700:C700"/>
    <mergeCell ref="A594:C594"/>
    <mergeCell ref="A10:C10"/>
    <mergeCell ref="A115:C115"/>
    <mergeCell ref="A765:C765"/>
    <mergeCell ref="A308:C308"/>
    <mergeCell ref="A827:C827"/>
    <mergeCell ref="A892:C892"/>
    <mergeCell ref="A898:C898"/>
    <mergeCell ref="A1063:C1063"/>
    <mergeCell ref="A544:C544"/>
    <mergeCell ref="A344:C344"/>
    <mergeCell ref="A400:C400"/>
    <mergeCell ref="A642:C642"/>
    <mergeCell ref="A1000:C1000"/>
    <mergeCell ref="A245:C245"/>
    <mergeCell ref="A927:C927"/>
    <mergeCell ref="A39:C39"/>
    <mergeCell ref="A310:C310"/>
    <mergeCell ref="A166:C166"/>
    <mergeCell ref="A608:C608"/>
    <mergeCell ref="A595:C595"/>
    <mergeCell ref="A766:C766"/>
    <mergeCell ref="A168:C168"/>
    <mergeCell ref="A339:C339"/>
    <mergeCell ref="A781:C781"/>
    <mergeCell ref="A547:C54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2026-03-22T23:52:28Z</dcterms:created>
  <dcterms:modified xsi:type="dcterms:W3CDTF">2026-03-23T21:39:07Z</dcterms:modified>
  <cp:lastModifiedBy>Marius</cp:lastModifiedBy>
  <cp:revision>0</cp:revision>
</cp:coreProperties>
</file>