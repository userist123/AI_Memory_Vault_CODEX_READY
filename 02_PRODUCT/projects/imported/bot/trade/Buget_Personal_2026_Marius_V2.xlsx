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📝 Cheltuieli" sheetId="2" state="visible" r:id="rId2"/>
    <sheet xmlns:r="http://schemas.openxmlformats.org/officeDocument/2006/relationships" name="📊 Raport Categorii" sheetId="3" state="visible" r:id="rId3"/>
    <sheet xmlns:r="http://schemas.openxmlformats.org/officeDocument/2006/relationships" name="📈 Evoluție Lunară" sheetId="4" state="visible" r:id="rId4"/>
    <sheet xmlns:r="http://schemas.openxmlformats.org/officeDocument/2006/relationships" name="🎯 Plan Refacere" sheetId="5" state="visible" r:id="rId5"/>
    <sheet xmlns:r="http://schemas.openxmlformats.org/officeDocument/2006/relationships" name="🏦 Obiective" sheetId="6" state="visible" r:id="rId6"/>
    <sheet xmlns:r="http://schemas.openxmlformats.org/officeDocument/2006/relationships" name="📖 Ghi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lei&quot;"/>
    <numFmt numFmtId="165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E1E2E"/>
      <sz val="10"/>
    </font>
    <font>
      <name val="Calibri"/>
      <i val="1"/>
      <color rgb="00FFFFFF"/>
      <sz val="9"/>
    </font>
    <font>
      <name val="Calibri"/>
      <b val="1"/>
      <color rgb="00FFFFFF"/>
      <sz val="12"/>
    </font>
    <font>
      <name val="Calibri"/>
      <b val="1"/>
      <color rgb="001E1E2E"/>
      <sz val="10"/>
    </font>
    <font>
      <name val="Calibri"/>
      <color rgb="00FFFFFF"/>
      <sz val="10"/>
    </font>
    <font>
      <name val="Calibri"/>
      <color rgb="001E1E2E"/>
      <sz val="9"/>
    </font>
    <font>
      <name val="Calibri"/>
      <b val="1"/>
      <color rgb="00FFFFFF"/>
      <sz val="14"/>
    </font>
    <font>
      <name val="Calibri"/>
      <i val="1"/>
      <color rgb="006B7280"/>
      <sz val="9"/>
    </font>
    <font>
      <name val="Calibri"/>
      <color rgb="006B7280"/>
      <sz val="9"/>
    </font>
    <font>
      <name val="Calibri"/>
      <b val="1"/>
      <color rgb="007C3AED"/>
      <sz val="10"/>
    </font>
    <font>
      <name val="Calibri"/>
      <i val="1"/>
      <color rgb="001E1E2E"/>
      <sz val="9"/>
    </font>
    <font>
      <name val="Calibri"/>
      <i val="1"/>
      <color rgb="006B7280"/>
      <sz val="10"/>
    </font>
    <font>
      <name val="Calibri"/>
      <b val="1"/>
      <color rgb="007C3AED"/>
      <sz val="11"/>
    </font>
  </fonts>
  <fills count="14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2D2D44"/>
      </patternFill>
    </fill>
    <fill>
      <patternFill patternType="solid">
        <fgColor rgb="001E1E2E"/>
      </patternFill>
    </fill>
    <fill>
      <patternFill patternType="solid">
        <fgColor rgb="00F8F7FF"/>
      </patternFill>
    </fill>
    <fill>
      <patternFill patternType="solid">
        <fgColor rgb="00FFFFFF"/>
      </patternFill>
    </fill>
    <fill>
      <patternFill patternType="solid">
        <fgColor rgb="0022C55E"/>
      </patternFill>
    </fill>
    <fill>
      <patternFill patternType="solid">
        <fgColor rgb="00EF4444"/>
      </patternFill>
    </fill>
    <fill>
      <patternFill patternType="solid">
        <fgColor rgb="00F97316"/>
      </patternFill>
    </fill>
    <fill>
      <patternFill patternType="solid">
        <fgColor rgb="003B82F6"/>
      </patternFill>
    </fill>
    <fill>
      <patternFill patternType="solid">
        <fgColor rgb="0014B8A6"/>
      </patternFill>
    </fill>
    <fill>
      <patternFill patternType="solid">
        <fgColor rgb="006B7280"/>
      </patternFill>
    </fill>
    <fill>
      <patternFill patternType="solid">
        <fgColor rgb="00F59E0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/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65" fontId="2" fillId="10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5" fontId="2" fillId="9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  <xf numFmtId="165" fontId="3" fillId="9" borderId="1" applyAlignment="1" pivotButton="0" quotePrefix="0" xfId="0">
      <alignment horizontal="center" vertical="center"/>
    </xf>
    <xf numFmtId="164" fontId="3" fillId="11" borderId="1" applyAlignment="1" pivotButton="0" quotePrefix="0" xfId="0">
      <alignment horizontal="center" vertical="center"/>
    </xf>
    <xf numFmtId="165" fontId="3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165" fontId="3" fillId="13" borderId="1" applyAlignment="1" pivotButton="0" quotePrefix="0" xfId="0">
      <alignment horizontal="center" vertical="center"/>
    </xf>
    <xf numFmtId="165" fontId="3" fillId="11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/>
    </xf>
    <xf numFmtId="165" fontId="6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right" vertical="center"/>
    </xf>
    <xf numFmtId="164" fontId="6" fillId="9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12" fillId="4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5" fontId="4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164" fontId="8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164" fontId="8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164" fontId="8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5" fontId="3" fillId="2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/>
    </xf>
    <xf numFmtId="164" fontId="8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name val="Calibri"/>
        <b val="1"/>
        <color rgb="00FFFFFF"/>
        <sz val="10"/>
      </font>
      <fill>
        <patternFill patternType="solid">
          <fgColor rgb="0022C55E"/>
        </patternFill>
      </fill>
    </dxf>
    <dxf>
      <font>
        <name val="Calibri"/>
        <b val="1"/>
        <color rgb="00FFFFFF"/>
        <sz val="10"/>
      </font>
      <fill>
        <patternFill patternType="solid">
          <fgColor rgb="00EF444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C3AED"/>
    <outlinePr summaryBelow="1" summaryRight="1"/>
    <pageSetUpPr/>
  </sheetPr>
  <dimension ref="B2:H35"/>
  <sheetViews>
    <sheetView showGridLines="0" zoomScale="95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3" customWidth="1" min="5" max="5"/>
    <col width="22" customWidth="1" min="6" max="6"/>
    <col width="16" customWidth="1" min="7" max="7"/>
    <col width="16" customWidth="1" min="8" max="8"/>
    <col width="3" customWidth="1" min="9" max="9"/>
  </cols>
  <sheetData>
    <row r="1" ht="8" customHeight="1"/>
    <row r="2" ht="35" customHeight="1">
      <c r="B2" s="1" t="inlineStr">
        <is>
          <t>💰 BUGET PERSONAL 2026 — MARIUS</t>
        </is>
      </c>
    </row>
    <row r="3" ht="8" customHeight="1"/>
    <row r="4" ht="20" customHeight="1">
      <c r="B4" s="2" t="inlineStr">
        <is>
          <t>📥 VENITURI LUNARE</t>
        </is>
      </c>
      <c r="F4" s="2" t="inlineStr">
        <is>
          <t>⚖️ REGULA 50/30/20</t>
        </is>
      </c>
    </row>
    <row r="5" ht="20" customHeight="1">
      <c r="B5" s="3" t="inlineStr">
        <is>
          <t>Sursă</t>
        </is>
      </c>
      <c r="C5" s="3" t="inlineStr">
        <is>
          <t>Sumă (lei)</t>
        </is>
      </c>
      <c r="D5" s="3" t="inlineStr">
        <is>
          <t>Editabil?</t>
        </is>
      </c>
      <c r="F5" s="3" t="inlineStr">
        <is>
          <t>Categorie</t>
        </is>
      </c>
      <c r="G5" s="3" t="inlineStr">
        <is>
          <t>% Actual</t>
        </is>
      </c>
      <c r="H5" s="3" t="inlineStr">
        <is>
          <t>% Țintă</t>
        </is>
      </c>
    </row>
    <row r="6" ht="22" customHeight="1">
      <c r="B6" s="4" t="inlineStr">
        <is>
          <t>Soldă netă</t>
        </is>
      </c>
      <c r="C6" s="5" t="n">
        <v>6700</v>
      </c>
      <c r="D6" s="4" t="inlineStr">
        <is>
          <t>✏️ Da</t>
        </is>
      </c>
      <c r="F6" s="6" t="inlineStr">
        <is>
          <t>🏠 Nevoi (max 50%)</t>
        </is>
      </c>
      <c r="G6" s="7">
        <f>IF(C27&gt;0,(C28+C29)/C27,0)</f>
        <v/>
      </c>
      <c r="H6" s="8" t="inlineStr">
        <is>
          <t>50%</t>
        </is>
      </c>
    </row>
    <row r="7" ht="22" customHeight="1">
      <c r="B7" s="9" t="inlineStr">
        <is>
          <t>Normă de hrană</t>
        </is>
      </c>
      <c r="C7" s="10" t="n">
        <v>0</v>
      </c>
      <c r="D7" s="9" t="inlineStr">
        <is>
          <t>✏️ Da</t>
        </is>
      </c>
      <c r="F7" s="11" t="inlineStr">
        <is>
          <t>🎉 Dorințe (max 30%)</t>
        </is>
      </c>
      <c r="G7" s="12">
        <f>IF(C27&gt;0,0/C27,0)</f>
        <v/>
      </c>
      <c r="H7" s="8" t="inlineStr">
        <is>
          <t>30%</t>
        </is>
      </c>
    </row>
    <row r="8" ht="22" customHeight="1">
      <c r="B8" s="4" t="inlineStr">
        <is>
          <t>Chirie compensatorie</t>
        </is>
      </c>
      <c r="C8" s="5" t="n">
        <v>0</v>
      </c>
      <c r="D8" s="4" t="inlineStr">
        <is>
          <t>✏️ Da</t>
        </is>
      </c>
      <c r="F8" s="6" t="inlineStr">
        <is>
          <t>💰 Economii (min 20%)</t>
        </is>
      </c>
      <c r="G8" s="13">
        <f>IF(C27&gt;0,C30/C27,0)</f>
        <v/>
      </c>
      <c r="H8" s="8" t="inlineStr">
        <is>
          <t>20%</t>
        </is>
      </c>
    </row>
    <row r="9" ht="20" customHeight="1">
      <c r="B9" s="9" t="inlineStr">
        <is>
          <t>Alte venituri</t>
        </is>
      </c>
      <c r="C9" s="10" t="n">
        <v>0</v>
      </c>
      <c r="D9" s="9" t="inlineStr">
        <is>
          <t>✏️ Da</t>
        </is>
      </c>
    </row>
    <row r="10" ht="8" customHeight="1">
      <c r="B10" s="14" t="inlineStr">
        <is>
          <t>TOTAL VENITURI</t>
        </is>
      </c>
      <c r="C10" s="15">
        <f>SUM(C6:C9)</f>
        <v/>
      </c>
      <c r="D10" s="16" t="inlineStr">
        <is>
          <t>← AUTO</t>
        </is>
      </c>
      <c r="F10" s="2" t="inlineStr">
        <is>
          <t>🚨 ALERTE BUGET LUNA CURENTĂ</t>
        </is>
      </c>
    </row>
    <row r="11" ht="8" customHeight="1">
      <c r="F11" s="3" t="inlineStr">
        <is>
          <t>Indicator</t>
        </is>
      </c>
      <c r="G11" s="3" t="inlineStr">
        <is>
          <t>Valoare</t>
        </is>
      </c>
      <c r="H11" s="3" t="inlineStr">
        <is>
          <t>Status</t>
        </is>
      </c>
    </row>
    <row r="12" ht="22" customHeight="1">
      <c r="B12" s="2" t="inlineStr">
        <is>
          <t>🔒 CHELTUIELI FIXE LUNARE</t>
        </is>
      </c>
      <c r="F12" s="4" t="inlineStr">
        <is>
          <t>Sold rămas</t>
        </is>
      </c>
      <c r="G12" s="17">
        <f>C30</f>
        <v/>
      </c>
      <c r="H12" s="8">
        <f>IF(C30&lt;0,"❌ DEFICIT",IF(C30&lt;500,"⚠️ Scăzut","✅ OK"))</f>
        <v/>
      </c>
    </row>
    <row r="13" ht="22" customHeight="1">
      <c r="B13" s="3" t="inlineStr">
        <is>
          <t>Categorie</t>
        </is>
      </c>
      <c r="C13" s="3" t="inlineStr">
        <is>
          <t>Sumă (lei)</t>
        </is>
      </c>
      <c r="D13" s="3" t="inlineStr">
        <is>
          <t>Note</t>
        </is>
      </c>
      <c r="F13" s="9" t="inlineStr">
        <is>
          <t>Cheltuieli/Venit</t>
        </is>
      </c>
      <c r="G13" s="18">
        <f>IF(C27&gt;0,(C28+C29)/C27,0)</f>
        <v/>
      </c>
      <c r="H13" s="8">
        <f>IF(C27&gt;0,IF((C28+C29)/C27&gt;0.9,"❌ Critic",IF((C28+C29)/C27&gt;0.7,"⚠️ Atenție","✅ Sub 70%")),"–")</f>
        <v/>
      </c>
    </row>
    <row r="14" ht="22" customHeight="1">
      <c r="B14" s="4" t="inlineStr">
        <is>
          <t>Credit auto (rata)</t>
        </is>
      </c>
      <c r="C14" s="5" t="n">
        <v>800</v>
      </c>
      <c r="D14" s="4" t="inlineStr">
        <is>
          <t>Scade mar 2027</t>
        </is>
      </c>
      <c r="F14" s="4" t="inlineStr">
        <is>
          <t>Economii luna</t>
        </is>
      </c>
      <c r="G14" s="19">
        <f>C30</f>
        <v/>
      </c>
      <c r="H14" s="8">
        <f>IF(C30&gt;=C27*0.2,"✅ Țintă atinsă","⚠️ Sub 20%")</f>
        <v/>
      </c>
    </row>
    <row r="15" ht="22" customHeight="1">
      <c r="B15" s="9" t="inlineStr">
        <is>
          <t>TBI Bank</t>
        </is>
      </c>
      <c r="C15" s="10" t="n">
        <v>1121</v>
      </c>
      <c r="D15" s="9" t="inlineStr">
        <is>
          <t>Din iul; era 1869</t>
        </is>
      </c>
      <c r="F15" s="9" t="inlineStr">
        <is>
          <t>Rate vs Venit</t>
        </is>
      </c>
      <c r="G15" s="20">
        <f>IF(C27&gt;0,(C14+C15)/C27,0)</f>
        <v/>
      </c>
      <c r="H15" s="8">
        <f>IF(C27&gt;0,IF((C14+C15)/C27&gt;0.4,"❌ Risc datorii","✅ Acceptabil"),"–")</f>
        <v/>
      </c>
    </row>
    <row r="16" ht="20" customHeight="1">
      <c r="B16" s="4" t="inlineStr">
        <is>
          <t>Vodafone</t>
        </is>
      </c>
      <c r="C16" s="5" t="n">
        <v>373</v>
      </c>
      <c r="D16" s="4" t="inlineStr">
        <is>
          <t>RED35 min din iul</t>
        </is>
      </c>
    </row>
    <row r="17" ht="8" customHeight="1">
      <c r="B17" s="9" t="inlineStr">
        <is>
          <t>Orange</t>
        </is>
      </c>
      <c r="C17" s="10" t="n">
        <v>410</v>
      </c>
      <c r="D17" s="9" t="inlineStr">
        <is>
          <t>SmartPlus30 min</t>
        </is>
      </c>
    </row>
    <row r="18" ht="20" customHeight="1">
      <c r="B18" s="4" t="inlineStr">
        <is>
          <t>eMag rate</t>
        </is>
      </c>
      <c r="C18" s="5" t="n">
        <v>442</v>
      </c>
      <c r="D18" s="4" t="inlineStr">
        <is>
          <t>Terminate oct 2026</t>
        </is>
      </c>
      <c r="F18" s="2" t="inlineStr">
        <is>
          <t>📅 PLAN REFACERE IUN–NOV 2026</t>
        </is>
      </c>
    </row>
    <row r="19" ht="20" customHeight="1">
      <c r="B19" s="9" t="inlineStr">
        <is>
          <t>STB (abonament)</t>
        </is>
      </c>
      <c r="C19" s="10" t="n">
        <v>160</v>
      </c>
      <c r="D19" s="9" t="inlineStr">
        <is>
          <t>Fix lunar</t>
        </is>
      </c>
      <c r="F19" s="3" t="inlineStr">
        <is>
          <t>Lună</t>
        </is>
      </c>
      <c r="G19" s="3" t="inlineStr">
        <is>
          <t>Disponibil</t>
        </is>
      </c>
      <c r="H19" s="3" t="inlineStr">
        <is>
          <t>% Eco</t>
        </is>
      </c>
    </row>
    <row r="20" ht="20" customHeight="1">
      <c r="B20" s="4" t="inlineStr">
        <is>
          <t>Țigări</t>
        </is>
      </c>
      <c r="C20" s="5" t="n">
        <v>795</v>
      </c>
      <c r="D20" s="4" t="inlineStr">
        <is>
          <t>26.50 lei/zi × 30</t>
        </is>
      </c>
      <c r="F20" s="6" t="inlineStr">
        <is>
          <t>IUN 2026</t>
        </is>
      </c>
      <c r="G20" s="21" t="n">
        <v>-1155</v>
      </c>
      <c r="H20" s="20" t="n">
        <v>0</v>
      </c>
    </row>
    <row r="21" ht="20" customHeight="1">
      <c r="B21" s="9" t="inlineStr">
        <is>
          <t>Utilități</t>
        </is>
      </c>
      <c r="C21" s="10" t="n">
        <v>0</v>
      </c>
      <c r="D21" s="9" t="inlineStr">
        <is>
          <t>✏️ Completează</t>
        </is>
      </c>
      <c r="F21" s="9" t="inlineStr">
        <is>
          <t>IUL 2026</t>
        </is>
      </c>
      <c r="G21" s="22" t="n">
        <v>1237</v>
      </c>
      <c r="H21" s="23" t="n">
        <v>0.185</v>
      </c>
    </row>
    <row r="22" ht="20" customHeight="1">
      <c r="B22" s="4" t="inlineStr">
        <is>
          <t>Asigurări</t>
        </is>
      </c>
      <c r="C22" s="5" t="n">
        <v>0</v>
      </c>
      <c r="D22" s="4" t="inlineStr">
        <is>
          <t>✏️ Completează</t>
        </is>
      </c>
      <c r="F22" s="4" t="inlineStr">
        <is>
          <t>AUG 2026</t>
        </is>
      </c>
      <c r="G22" s="22" t="n">
        <v>838</v>
      </c>
      <c r="H22" s="23" t="n">
        <v>0.125</v>
      </c>
    </row>
    <row r="23" ht="20" customHeight="1">
      <c r="B23" s="9" t="inlineStr">
        <is>
          <t>Fond urgență</t>
        </is>
      </c>
      <c r="C23" s="10" t="n">
        <v>0</v>
      </c>
      <c r="D23" s="9" t="inlineStr">
        <is>
          <t>✏️ Recomandat 500+</t>
        </is>
      </c>
      <c r="F23" s="9" t="inlineStr">
        <is>
          <t>SEP 2026</t>
        </is>
      </c>
      <c r="G23" s="22" t="n">
        <v>2128</v>
      </c>
      <c r="H23" s="24" t="n">
        <v>0.318</v>
      </c>
    </row>
    <row r="24" ht="20" customHeight="1">
      <c r="B24" s="25" t="inlineStr">
        <is>
          <t>TOTAL FIXE</t>
        </is>
      </c>
      <c r="C24" s="26">
        <f>SUM(C14:C23)</f>
        <v/>
      </c>
      <c r="D24" s="27" t="inlineStr">
        <is>
          <t>← AUTO</t>
        </is>
      </c>
      <c r="F24" s="4" t="inlineStr">
        <is>
          <t>OCT 2026</t>
        </is>
      </c>
      <c r="G24" s="22" t="n">
        <v>1725</v>
      </c>
      <c r="H24" s="24" t="n">
        <v>0.257</v>
      </c>
    </row>
    <row r="25" ht="8" customHeight="1">
      <c r="F25" s="9" t="inlineStr">
        <is>
          <t>NOV 2026</t>
        </is>
      </c>
      <c r="G25" s="22" t="n">
        <v>2425</v>
      </c>
      <c r="H25" s="24" t="n">
        <v>0.362</v>
      </c>
    </row>
    <row r="26" ht="20" customHeight="1">
      <c r="B26" s="2" t="inlineStr">
        <is>
          <t>📋 SUMAR LUNAR</t>
        </is>
      </c>
    </row>
    <row r="27" ht="8" customHeight="1">
      <c r="B27" s="28" t="inlineStr">
        <is>
          <t>Total Venituri</t>
        </is>
      </c>
      <c r="C27" s="29">
        <f>C10</f>
        <v/>
      </c>
      <c r="D27" s="30" t="inlineStr">
        <is>
          <t>← AUTO</t>
        </is>
      </c>
    </row>
    <row r="28" ht="22" customHeight="1">
      <c r="B28" s="31" t="inlineStr">
        <is>
          <t>Total Fixe</t>
        </is>
      </c>
      <c r="C28" s="32">
        <f>C24</f>
        <v/>
      </c>
      <c r="D28" s="33" t="inlineStr">
        <is>
          <t>← AUTO</t>
        </is>
      </c>
      <c r="F28" s="34" t="inlineStr">
        <is>
          <t>💡 SFATURI RAPIDE</t>
        </is>
      </c>
    </row>
    <row r="29" ht="18" customHeight="1">
      <c r="B29" s="35" t="inlineStr">
        <is>
          <t>Total Variabile</t>
        </is>
      </c>
      <c r="C29" s="36">
        <f>'📝 Cheltuieli'!B2</f>
        <v/>
      </c>
      <c r="D29" s="37" t="inlineStr">
        <is>
          <t>← AUTO</t>
        </is>
      </c>
      <c r="F29" s="38" t="inlineStr">
        <is>
          <t>1. Completează solda și veniturile (tab galben)</t>
        </is>
      </c>
    </row>
    <row r="30" ht="18" customHeight="1">
      <c r="B30" s="39" t="inlineStr">
        <is>
          <t>SOLD RĂMAS</t>
        </is>
      </c>
      <c r="C30" s="40">
        <f>C27-C28-C29</f>
        <v/>
      </c>
      <c r="D30" s="41" t="inlineStr">
        <is>
          <t>← AUTO</t>
        </is>
      </c>
      <c r="F30" s="42" t="inlineStr">
        <is>
          <t>2. Adaugă cheltuielile zilnic în tab 📝 Cheltuieli</t>
        </is>
      </c>
    </row>
    <row r="31" ht="18" customHeight="1">
      <c r="B31" s="43" t="inlineStr">
        <is>
          <t>% Economisit</t>
        </is>
      </c>
      <c r="C31" s="44">
        <f>IF(C27&gt;0,C30/C27,0)</f>
        <v/>
      </c>
      <c r="D31" s="45" t="inlineStr">
        <is>
          <t>← AUTO</t>
        </is>
      </c>
      <c r="F31" s="38" t="inlineStr">
        <is>
          <t>3. Verifică Dashboard-ul în fiecare săptămână</t>
        </is>
      </c>
    </row>
    <row r="32" ht="18" customHeight="1">
      <c r="F32" s="42" t="inlineStr">
        <is>
          <t>4. Țintă: min 20% economii conform 50/30/20</t>
        </is>
      </c>
    </row>
    <row r="33" ht="18" customHeight="1">
      <c r="F33" s="38" t="inlineStr">
        <is>
          <t>5. Renunțarea la țigări = +795 lei/lună liber!</t>
        </is>
      </c>
    </row>
    <row r="34" ht="18" customHeight="1">
      <c r="F34" s="42" t="inlineStr">
        <is>
          <t>6. Ratele eMag dispar în oct 2026 → +534 lei</t>
        </is>
      </c>
    </row>
    <row r="35" ht="18" customHeight="1">
      <c r="F35" s="38" t="inlineStr">
        <is>
          <t>7. TBI Bank scade din iul 2026 → +748 lei/lună</t>
        </is>
      </c>
    </row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</sheetData>
  <mergeCells count="16">
    <mergeCell ref="F34:H34"/>
    <mergeCell ref="F10:H10"/>
    <mergeCell ref="F28:H28"/>
    <mergeCell ref="F18:H18"/>
    <mergeCell ref="F33:H33"/>
    <mergeCell ref="F31:H31"/>
    <mergeCell ref="B4:D4"/>
    <mergeCell ref="F32:H32"/>
    <mergeCell ref="B26:D26"/>
    <mergeCell ref="F35:H35"/>
    <mergeCell ref="B2:H2"/>
    <mergeCell ref="F4:H4"/>
    <mergeCell ref="B10"/>
    <mergeCell ref="F30:H30"/>
    <mergeCell ref="B12:D12"/>
    <mergeCell ref="F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B2:G504"/>
  <sheetViews>
    <sheetView showGridLines="0" zoomScale="95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22" customWidth="1" min="3" max="3"/>
    <col width="30" customWidth="1" min="4" max="4"/>
    <col width="14" customWidth="1" min="5" max="5"/>
    <col width="15" customWidth="1" min="6" max="6"/>
    <col width="12" customWidth="1" min="7" max="7"/>
  </cols>
  <sheetData>
    <row r="1" ht="8" customHeight="1"/>
    <row r="2" ht="30" customHeight="1">
      <c r="B2" s="46" t="inlineStr">
        <is>
          <t>📝 JURNAL CHELTUIELI ZILNICE</t>
        </is>
      </c>
    </row>
    <row r="3" ht="22" customHeight="1">
      <c r="B3" s="47" t="inlineStr">
        <is>
          <t>TOTAL VARIABILE LUNA CURENTĂ →</t>
        </is>
      </c>
      <c r="E3" s="48">
        <f>SUMPRODUCT((MONTH(B5:B504)=MONTH(TODAY()))*(YEAR(B5:B504)=YEAR(TODAY()))*E5:E504)</f>
        <v/>
      </c>
      <c r="F3" s="49" t="inlineStr">
        <is>
          <t>← Formula auto</t>
        </is>
      </c>
    </row>
    <row r="4">
      <c r="B4" s="3" t="inlineStr">
        <is>
          <t>Data</t>
        </is>
      </c>
      <c r="C4" s="3" t="inlineStr">
        <is>
          <t>Categorie</t>
        </is>
      </c>
      <c r="D4" s="3" t="inlineStr">
        <is>
          <t>Descriere</t>
        </is>
      </c>
      <c r="E4" s="3" t="inlineStr">
        <is>
          <t>Sumă (lei)</t>
        </is>
      </c>
      <c r="F4" s="3" t="inlineStr">
        <is>
          <t>Metodă plată</t>
        </is>
      </c>
      <c r="G4" s="3" t="inlineStr">
        <is>
          <t>Lună</t>
        </is>
      </c>
    </row>
    <row r="5" ht="19" customHeight="1">
      <c r="B5" s="4" t="inlineStr">
        <is>
          <t>14.06.2026</t>
        </is>
      </c>
      <c r="C5" s="4" t="inlineStr">
        <is>
          <t>Diverse</t>
        </is>
      </c>
      <c r="D5" s="50" t="inlineStr">
        <is>
          <t>Recuperat Axi — încasat</t>
        </is>
      </c>
      <c r="E5" s="22" t="n">
        <v>-2500</v>
      </c>
      <c r="F5" s="4" t="inlineStr">
        <is>
          <t>Transfer</t>
        </is>
      </c>
      <c r="G5" s="51">
        <f>IF(B5&lt;&gt;"",TEXT(B5,"mmm yyyy"),"–")</f>
        <v/>
      </c>
    </row>
    <row r="6" ht="19" customHeight="1">
      <c r="B6" s="9" t="inlineStr">
        <is>
          <t>15.06.2026</t>
        </is>
      </c>
      <c r="C6" s="9" t="inlineStr">
        <is>
          <t>Rate &amp; Credite</t>
        </is>
      </c>
      <c r="D6" s="52" t="inlineStr">
        <is>
          <t>TBI Bank — plată minimă</t>
        </is>
      </c>
      <c r="E6" s="21" t="n">
        <v>1869</v>
      </c>
      <c r="F6" s="9" t="inlineStr">
        <is>
          <t>Transfer</t>
        </is>
      </c>
      <c r="G6" s="53">
        <f>IF(B6&lt;&gt;"",TEXT(B6,"mmm yyyy"),"–")</f>
        <v/>
      </c>
    </row>
    <row r="7" ht="19" customHeight="1">
      <c r="B7" s="4" t="inlineStr">
        <is>
          <t>15.06.2026</t>
        </is>
      </c>
      <c r="C7" s="4" t="inlineStr">
        <is>
          <t>Mâncare &amp; Băuturi</t>
        </is>
      </c>
      <c r="D7" s="50" t="inlineStr">
        <is>
          <t>Țigări 15 iun</t>
        </is>
      </c>
      <c r="E7" s="21" t="n">
        <v>27</v>
      </c>
      <c r="F7" s="4" t="inlineStr">
        <is>
          <t>Cash</t>
        </is>
      </c>
      <c r="G7" s="51">
        <f>IF(B7&lt;&gt;"",TEXT(B7,"mmm yyyy"),"–")</f>
        <v/>
      </c>
    </row>
    <row r="8" ht="19" customHeight="1">
      <c r="B8" s="9" t="inlineStr">
        <is>
          <t>20.06.2026</t>
        </is>
      </c>
      <c r="C8" s="9" t="inlineStr">
        <is>
          <t>Mâncare &amp; Băuturi</t>
        </is>
      </c>
      <c r="D8" s="52" t="inlineStr">
        <is>
          <t>Pâine + ulei (săptămâna 1)</t>
        </is>
      </c>
      <c r="E8" s="21" t="n">
        <v>25</v>
      </c>
      <c r="F8" s="9" t="inlineStr">
        <is>
          <t>Cash</t>
        </is>
      </c>
      <c r="G8" s="53">
        <f>IF(B8&lt;&gt;"",TEXT(B8,"mmm yyyy"),"–")</f>
        <v/>
      </c>
    </row>
    <row r="9" ht="19" customHeight="1">
      <c r="B9" s="4" t="inlineStr">
        <is>
          <t>27.06.2026</t>
        </is>
      </c>
      <c r="C9" s="4" t="inlineStr">
        <is>
          <t>Mâncare &amp; Băuturi</t>
        </is>
      </c>
      <c r="D9" s="50" t="inlineStr">
        <is>
          <t>Pâine + ulei (săptămâna 2)</t>
        </is>
      </c>
      <c r="E9" s="21" t="n">
        <v>25</v>
      </c>
      <c r="F9" s="4" t="inlineStr">
        <is>
          <t>Cash</t>
        </is>
      </c>
      <c r="G9" s="51">
        <f>IF(B9&lt;&gt;"",TEXT(B9,"mmm yyyy"),"–")</f>
        <v/>
      </c>
    </row>
    <row r="10" ht="19" customHeight="1">
      <c r="B10" s="9" t="inlineStr">
        <is>
          <t>30.06.2026</t>
        </is>
      </c>
      <c r="C10" s="9" t="inlineStr">
        <is>
          <t>Rate &amp; Credite</t>
        </is>
      </c>
      <c r="D10" s="52" t="inlineStr">
        <is>
          <t>Credit auto — rată iulie</t>
        </is>
      </c>
      <c r="E10" s="21" t="n">
        <v>800</v>
      </c>
      <c r="F10" s="9" t="inlineStr">
        <is>
          <t>Transfer</t>
        </is>
      </c>
      <c r="G10" s="53">
        <f>IF(B10&lt;&gt;"",TEXT(B10,"mmm yyyy"),"–")</f>
        <v/>
      </c>
    </row>
    <row r="11" ht="19" customHeight="1">
      <c r="B11" s="4" t="inlineStr">
        <is>
          <t>30.06.2026</t>
        </is>
      </c>
      <c r="C11" s="4" t="inlineStr">
        <is>
          <t>Telefonie</t>
        </is>
      </c>
      <c r="D11" s="50" t="inlineStr">
        <is>
          <t>Vodafone factură</t>
        </is>
      </c>
      <c r="E11" s="21" t="n">
        <v>544</v>
      </c>
      <c r="F11" s="4" t="inlineStr">
        <is>
          <t>Card</t>
        </is>
      </c>
      <c r="G11" s="51">
        <f>IF(B11&lt;&gt;"",TEXT(B11,"mmm yyyy"),"–")</f>
        <v/>
      </c>
    </row>
    <row r="12" ht="19" customHeight="1">
      <c r="B12" s="9" t="inlineStr">
        <is>
          <t>30.06.2026</t>
        </is>
      </c>
      <c r="C12" s="9" t="inlineStr">
        <is>
          <t>Telefonie</t>
        </is>
      </c>
      <c r="D12" s="52" t="inlineStr">
        <is>
          <t>Orange factură</t>
        </is>
      </c>
      <c r="E12" s="21" t="n">
        <v>553</v>
      </c>
      <c r="F12" s="9" t="inlineStr">
        <is>
          <t>Card</t>
        </is>
      </c>
      <c r="G12" s="53">
        <f>IF(B12&lt;&gt;"",TEXT(B12,"mmm yyyy"),"–")</f>
        <v/>
      </c>
    </row>
    <row r="13" ht="19" customHeight="1">
      <c r="B13" s="4" t="inlineStr">
        <is>
          <t>30.06.2026</t>
        </is>
      </c>
      <c r="C13" s="4" t="inlineStr">
        <is>
          <t>Rate &amp; Credite</t>
        </is>
      </c>
      <c r="D13" s="50" t="inlineStr">
        <is>
          <t>eMag rate</t>
        </is>
      </c>
      <c r="E13" s="21" t="n">
        <v>534</v>
      </c>
      <c r="F13" s="4" t="inlineStr">
        <is>
          <t>Card</t>
        </is>
      </c>
      <c r="G13" s="51">
        <f>IF(B13&lt;&gt;"",TEXT(B13,"mmm yyyy"),"–")</f>
        <v/>
      </c>
    </row>
    <row r="14" ht="19" customHeight="1">
      <c r="B14" s="9" t="inlineStr">
        <is>
          <t>30.06.2026</t>
        </is>
      </c>
      <c r="C14" s="9" t="inlineStr">
        <is>
          <t>Transport</t>
        </is>
      </c>
      <c r="D14" s="52" t="inlineStr">
        <is>
          <t>STB abonament</t>
        </is>
      </c>
      <c r="E14" s="21" t="n">
        <v>160</v>
      </c>
      <c r="F14" s="9" t="inlineStr">
        <is>
          <t>Card</t>
        </is>
      </c>
      <c r="G14" s="53">
        <f>IF(B14&lt;&gt;"",TEXT(B14,"mmm yyyy"),"–")</f>
        <v/>
      </c>
    </row>
    <row r="15" ht="19" customHeight="1">
      <c r="B15" s="54" t="n"/>
      <c r="C15" s="54" t="n"/>
      <c r="D15" s="54" t="n"/>
      <c r="E15" s="55" t="n"/>
      <c r="F15" s="54" t="n"/>
      <c r="G15" s="51">
        <f>IF(B15&lt;&gt;"",TEXT(B15,"mmm yyyy"),"–")</f>
        <v/>
      </c>
    </row>
    <row r="16" ht="19" customHeight="1">
      <c r="B16" s="56" t="n"/>
      <c r="C16" s="56" t="n"/>
      <c r="D16" s="56" t="n"/>
      <c r="E16" s="57" t="n"/>
      <c r="F16" s="56" t="n"/>
      <c r="G16" s="53">
        <f>IF(B16&lt;&gt;"",TEXT(B16,"mmm yyyy"),"–")</f>
        <v/>
      </c>
    </row>
    <row r="17" ht="19" customHeight="1">
      <c r="B17" s="54" t="n"/>
      <c r="C17" s="54" t="n"/>
      <c r="D17" s="54" t="n"/>
      <c r="E17" s="55" t="n"/>
      <c r="F17" s="54" t="n"/>
      <c r="G17" s="51">
        <f>IF(B17&lt;&gt;"",TEXT(B17,"mmm yyyy"),"–")</f>
        <v/>
      </c>
    </row>
    <row r="18" ht="19" customHeight="1">
      <c r="B18" s="56" t="n"/>
      <c r="C18" s="56" t="n"/>
      <c r="D18" s="56" t="n"/>
      <c r="E18" s="57" t="n"/>
      <c r="F18" s="56" t="n"/>
      <c r="G18" s="53">
        <f>IF(B18&lt;&gt;"",TEXT(B18,"mmm yyyy"),"–")</f>
        <v/>
      </c>
    </row>
    <row r="19" ht="19" customHeight="1">
      <c r="B19" s="54" t="n"/>
      <c r="C19" s="54" t="n"/>
      <c r="D19" s="54" t="n"/>
      <c r="E19" s="55" t="n"/>
      <c r="F19" s="54" t="n"/>
      <c r="G19" s="51">
        <f>IF(B19&lt;&gt;"",TEXT(B19,"mmm yyyy"),"–")</f>
        <v/>
      </c>
    </row>
    <row r="20" ht="19" customHeight="1">
      <c r="B20" s="56" t="n"/>
      <c r="C20" s="56" t="n"/>
      <c r="D20" s="56" t="n"/>
      <c r="E20" s="57" t="n"/>
      <c r="F20" s="56" t="n"/>
      <c r="G20" s="53">
        <f>IF(B20&lt;&gt;"",TEXT(B20,"mmm yyyy"),"–")</f>
        <v/>
      </c>
    </row>
    <row r="21" ht="19" customHeight="1">
      <c r="B21" s="54" t="n"/>
      <c r="C21" s="54" t="n"/>
      <c r="D21" s="54" t="n"/>
      <c r="E21" s="55" t="n"/>
      <c r="F21" s="54" t="n"/>
      <c r="G21" s="51">
        <f>IF(B21&lt;&gt;"",TEXT(B21,"mmm yyyy"),"–")</f>
        <v/>
      </c>
    </row>
    <row r="22" ht="19" customHeight="1">
      <c r="B22" s="56" t="n"/>
      <c r="C22" s="56" t="n"/>
      <c r="D22" s="56" t="n"/>
      <c r="E22" s="57" t="n"/>
      <c r="F22" s="56" t="n"/>
      <c r="G22" s="53">
        <f>IF(B22&lt;&gt;"",TEXT(B22,"mmm yyyy"),"–")</f>
        <v/>
      </c>
    </row>
    <row r="23" ht="19" customHeight="1">
      <c r="B23" s="54" t="n"/>
      <c r="C23" s="54" t="n"/>
      <c r="D23" s="54" t="n"/>
      <c r="E23" s="55" t="n"/>
      <c r="F23" s="54" t="n"/>
      <c r="G23" s="51">
        <f>IF(B23&lt;&gt;"",TEXT(B23,"mmm yyyy"),"–")</f>
        <v/>
      </c>
    </row>
    <row r="24" ht="19" customHeight="1">
      <c r="B24" s="56" t="n"/>
      <c r="C24" s="56" t="n"/>
      <c r="D24" s="56" t="n"/>
      <c r="E24" s="57" t="n"/>
      <c r="F24" s="56" t="n"/>
      <c r="G24" s="53">
        <f>IF(B24&lt;&gt;"",TEXT(B24,"mmm yyyy"),"–")</f>
        <v/>
      </c>
    </row>
    <row r="25" ht="19" customHeight="1">
      <c r="B25" s="54" t="n"/>
      <c r="C25" s="54" t="n"/>
      <c r="D25" s="54" t="n"/>
      <c r="E25" s="55" t="n"/>
      <c r="F25" s="54" t="n"/>
      <c r="G25" s="51">
        <f>IF(B25&lt;&gt;"",TEXT(B25,"mmm yyyy"),"–")</f>
        <v/>
      </c>
    </row>
    <row r="26" ht="19" customHeight="1">
      <c r="B26" s="56" t="n"/>
      <c r="C26" s="56" t="n"/>
      <c r="D26" s="56" t="n"/>
      <c r="E26" s="57" t="n"/>
      <c r="F26" s="56" t="n"/>
      <c r="G26" s="53">
        <f>IF(B26&lt;&gt;"",TEXT(B26,"mmm yyyy"),"–")</f>
        <v/>
      </c>
    </row>
    <row r="27" ht="19" customHeight="1">
      <c r="B27" s="54" t="n"/>
      <c r="C27" s="54" t="n"/>
      <c r="D27" s="54" t="n"/>
      <c r="E27" s="55" t="n"/>
      <c r="F27" s="54" t="n"/>
      <c r="G27" s="51">
        <f>IF(B27&lt;&gt;"",TEXT(B27,"mmm yyyy"),"–")</f>
        <v/>
      </c>
    </row>
    <row r="28" ht="19" customHeight="1">
      <c r="B28" s="56" t="n"/>
      <c r="C28" s="56" t="n"/>
      <c r="D28" s="56" t="n"/>
      <c r="E28" s="57" t="n"/>
      <c r="F28" s="56" t="n"/>
      <c r="G28" s="53">
        <f>IF(B28&lt;&gt;"",TEXT(B28,"mmm yyyy"),"–")</f>
        <v/>
      </c>
    </row>
    <row r="29" ht="19" customHeight="1">
      <c r="B29" s="54" t="n"/>
      <c r="C29" s="54" t="n"/>
      <c r="D29" s="54" t="n"/>
      <c r="E29" s="55" t="n"/>
      <c r="F29" s="54" t="n"/>
      <c r="G29" s="51">
        <f>IF(B29&lt;&gt;"",TEXT(B29,"mmm yyyy"),"–")</f>
        <v/>
      </c>
    </row>
    <row r="30" ht="19" customHeight="1">
      <c r="B30" s="56" t="n"/>
      <c r="C30" s="56" t="n"/>
      <c r="D30" s="56" t="n"/>
      <c r="E30" s="57" t="n"/>
      <c r="F30" s="56" t="n"/>
      <c r="G30" s="53">
        <f>IF(B30&lt;&gt;"",TEXT(B30,"mmm yyyy"),"–")</f>
        <v/>
      </c>
    </row>
    <row r="31" ht="19" customHeight="1">
      <c r="B31" s="54" t="n"/>
      <c r="C31" s="54" t="n"/>
      <c r="D31" s="54" t="n"/>
      <c r="E31" s="55" t="n"/>
      <c r="F31" s="54" t="n"/>
      <c r="G31" s="51">
        <f>IF(B31&lt;&gt;"",TEXT(B31,"mmm yyyy"),"–")</f>
        <v/>
      </c>
    </row>
    <row r="32" ht="19" customHeight="1">
      <c r="B32" s="56" t="n"/>
      <c r="C32" s="56" t="n"/>
      <c r="D32" s="56" t="n"/>
      <c r="E32" s="57" t="n"/>
      <c r="F32" s="56" t="n"/>
      <c r="G32" s="53">
        <f>IF(B32&lt;&gt;"",TEXT(B32,"mmm yyyy"),"–")</f>
        <v/>
      </c>
    </row>
    <row r="33" ht="19" customHeight="1">
      <c r="B33" s="54" t="n"/>
      <c r="C33" s="54" t="n"/>
      <c r="D33" s="54" t="n"/>
      <c r="E33" s="55" t="n"/>
      <c r="F33" s="54" t="n"/>
      <c r="G33" s="51">
        <f>IF(B33&lt;&gt;"",TEXT(B33,"mmm yyyy"),"–")</f>
        <v/>
      </c>
    </row>
    <row r="34" ht="19" customHeight="1">
      <c r="B34" s="56" t="n"/>
      <c r="C34" s="56" t="n"/>
      <c r="D34" s="56" t="n"/>
      <c r="E34" s="57" t="n"/>
      <c r="F34" s="56" t="n"/>
      <c r="G34" s="53">
        <f>IF(B34&lt;&gt;"",TEXT(B34,"mmm yyyy"),"–")</f>
        <v/>
      </c>
    </row>
    <row r="35" ht="19" customHeight="1">
      <c r="B35" s="54" t="n"/>
      <c r="C35" s="54" t="n"/>
      <c r="D35" s="54" t="n"/>
      <c r="E35" s="55" t="n"/>
      <c r="F35" s="54" t="n"/>
      <c r="G35" s="51">
        <f>IF(B35&lt;&gt;"",TEXT(B35,"mmm yyyy"),"–")</f>
        <v/>
      </c>
    </row>
    <row r="36" ht="19" customHeight="1">
      <c r="B36" s="56" t="n"/>
      <c r="C36" s="56" t="n"/>
      <c r="D36" s="56" t="n"/>
      <c r="E36" s="57" t="n"/>
      <c r="F36" s="56" t="n"/>
      <c r="G36" s="53">
        <f>IF(B36&lt;&gt;"",TEXT(B36,"mmm yyyy"),"–")</f>
        <v/>
      </c>
    </row>
    <row r="37" ht="19" customHeight="1">
      <c r="B37" s="54" t="n"/>
      <c r="C37" s="54" t="n"/>
      <c r="D37" s="54" t="n"/>
      <c r="E37" s="55" t="n"/>
      <c r="F37" s="54" t="n"/>
      <c r="G37" s="51">
        <f>IF(B37&lt;&gt;"",TEXT(B37,"mmm yyyy"),"–")</f>
        <v/>
      </c>
    </row>
    <row r="38" ht="19" customHeight="1">
      <c r="B38" s="56" t="n"/>
      <c r="C38" s="56" t="n"/>
      <c r="D38" s="56" t="n"/>
      <c r="E38" s="57" t="n"/>
      <c r="F38" s="56" t="n"/>
      <c r="G38" s="53">
        <f>IF(B38&lt;&gt;"",TEXT(B38,"mmm yyyy"),"–")</f>
        <v/>
      </c>
    </row>
    <row r="39" ht="19" customHeight="1">
      <c r="B39" s="54" t="n"/>
      <c r="C39" s="54" t="n"/>
      <c r="D39" s="54" t="n"/>
      <c r="E39" s="55" t="n"/>
      <c r="F39" s="54" t="n"/>
      <c r="G39" s="51">
        <f>IF(B39&lt;&gt;"",TEXT(B39,"mmm yyyy"),"–")</f>
        <v/>
      </c>
    </row>
    <row r="40" ht="19" customHeight="1">
      <c r="B40" s="56" t="n"/>
      <c r="C40" s="56" t="n"/>
      <c r="D40" s="56" t="n"/>
      <c r="E40" s="57" t="n"/>
      <c r="F40" s="56" t="n"/>
      <c r="G40" s="53">
        <f>IF(B40&lt;&gt;"",TEXT(B40,"mmm yyyy"),"–")</f>
        <v/>
      </c>
    </row>
    <row r="41" ht="19" customHeight="1">
      <c r="B41" s="54" t="n"/>
      <c r="C41" s="54" t="n"/>
      <c r="D41" s="54" t="n"/>
      <c r="E41" s="55" t="n"/>
      <c r="F41" s="54" t="n"/>
      <c r="G41" s="51">
        <f>IF(B41&lt;&gt;"",TEXT(B41,"mmm yyyy"),"–")</f>
        <v/>
      </c>
    </row>
    <row r="42" ht="19" customHeight="1">
      <c r="B42" s="56" t="n"/>
      <c r="C42" s="56" t="n"/>
      <c r="D42" s="56" t="n"/>
      <c r="E42" s="57" t="n"/>
      <c r="F42" s="56" t="n"/>
      <c r="G42" s="53">
        <f>IF(B42&lt;&gt;"",TEXT(B42,"mmm yyyy"),"–")</f>
        <v/>
      </c>
    </row>
    <row r="43" ht="19" customHeight="1">
      <c r="B43" s="54" t="n"/>
      <c r="C43" s="54" t="n"/>
      <c r="D43" s="54" t="n"/>
      <c r="E43" s="55" t="n"/>
      <c r="F43" s="54" t="n"/>
      <c r="G43" s="51">
        <f>IF(B43&lt;&gt;"",TEXT(B43,"mmm yyyy"),"–")</f>
        <v/>
      </c>
    </row>
    <row r="44" ht="19" customHeight="1">
      <c r="B44" s="56" t="n"/>
      <c r="C44" s="56" t="n"/>
      <c r="D44" s="56" t="n"/>
      <c r="E44" s="57" t="n"/>
      <c r="F44" s="56" t="n"/>
      <c r="G44" s="53">
        <f>IF(B44&lt;&gt;"",TEXT(B44,"mmm yyyy"),"–")</f>
        <v/>
      </c>
    </row>
    <row r="45" ht="19" customHeight="1">
      <c r="B45" s="54" t="n"/>
      <c r="C45" s="54" t="n"/>
      <c r="D45" s="54" t="n"/>
      <c r="E45" s="55" t="n"/>
      <c r="F45" s="54" t="n"/>
      <c r="G45" s="51">
        <f>IF(B45&lt;&gt;"",TEXT(B45,"mmm yyyy"),"–")</f>
        <v/>
      </c>
    </row>
    <row r="46" ht="19" customHeight="1">
      <c r="B46" s="56" t="n"/>
      <c r="C46" s="56" t="n"/>
      <c r="D46" s="56" t="n"/>
      <c r="E46" s="57" t="n"/>
      <c r="F46" s="56" t="n"/>
      <c r="G46" s="53">
        <f>IF(B46&lt;&gt;"",TEXT(B46,"mmm yyyy"),"–")</f>
        <v/>
      </c>
    </row>
    <row r="47" ht="19" customHeight="1">
      <c r="B47" s="54" t="n"/>
      <c r="C47" s="54" t="n"/>
      <c r="D47" s="54" t="n"/>
      <c r="E47" s="55" t="n"/>
      <c r="F47" s="54" t="n"/>
      <c r="G47" s="51">
        <f>IF(B47&lt;&gt;"",TEXT(B47,"mmm yyyy"),"–")</f>
        <v/>
      </c>
    </row>
    <row r="48" ht="19" customHeight="1">
      <c r="B48" s="56" t="n"/>
      <c r="C48" s="56" t="n"/>
      <c r="D48" s="56" t="n"/>
      <c r="E48" s="57" t="n"/>
      <c r="F48" s="56" t="n"/>
      <c r="G48" s="53">
        <f>IF(B48&lt;&gt;"",TEXT(B48,"mmm yyyy"),"–")</f>
        <v/>
      </c>
    </row>
    <row r="49" ht="19" customHeight="1">
      <c r="B49" s="54" t="n"/>
      <c r="C49" s="54" t="n"/>
      <c r="D49" s="54" t="n"/>
      <c r="E49" s="55" t="n"/>
      <c r="F49" s="54" t="n"/>
      <c r="G49" s="51">
        <f>IF(B49&lt;&gt;"",TEXT(B49,"mmm yyyy"),"–")</f>
        <v/>
      </c>
    </row>
    <row r="50" ht="19" customHeight="1">
      <c r="B50" s="56" t="n"/>
      <c r="C50" s="56" t="n"/>
      <c r="D50" s="56" t="n"/>
      <c r="E50" s="57" t="n"/>
      <c r="F50" s="56" t="n"/>
      <c r="G50" s="53">
        <f>IF(B50&lt;&gt;"",TEXT(B50,"mmm yyyy"),"–")</f>
        <v/>
      </c>
    </row>
    <row r="51" ht="19" customHeight="1">
      <c r="B51" s="54" t="n"/>
      <c r="C51" s="54" t="n"/>
      <c r="D51" s="54" t="n"/>
      <c r="E51" s="55" t="n"/>
      <c r="F51" s="54" t="n"/>
      <c r="G51" s="51">
        <f>IF(B51&lt;&gt;"",TEXT(B51,"mmm yyyy"),"–")</f>
        <v/>
      </c>
    </row>
    <row r="52" ht="19" customHeight="1">
      <c r="B52" s="56" t="n"/>
      <c r="C52" s="56" t="n"/>
      <c r="D52" s="56" t="n"/>
      <c r="E52" s="57" t="n"/>
      <c r="F52" s="56" t="n"/>
      <c r="G52" s="53">
        <f>IF(B52&lt;&gt;"",TEXT(B52,"mmm yyyy"),"–")</f>
        <v/>
      </c>
    </row>
    <row r="53" ht="19" customHeight="1">
      <c r="B53" s="54" t="n"/>
      <c r="C53" s="54" t="n"/>
      <c r="D53" s="54" t="n"/>
      <c r="E53" s="55" t="n"/>
      <c r="F53" s="54" t="n"/>
      <c r="G53" s="51">
        <f>IF(B53&lt;&gt;"",TEXT(B53,"mmm yyyy"),"–")</f>
        <v/>
      </c>
    </row>
    <row r="54" ht="19" customHeight="1">
      <c r="B54" s="56" t="n"/>
      <c r="C54" s="56" t="n"/>
      <c r="D54" s="56" t="n"/>
      <c r="E54" s="57" t="n"/>
      <c r="F54" s="56" t="n"/>
      <c r="G54" s="53">
        <f>IF(B54&lt;&gt;"",TEXT(B54,"mmm yyyy"),"–")</f>
        <v/>
      </c>
    </row>
    <row r="55" ht="19" customHeight="1">
      <c r="B55" s="54" t="n"/>
      <c r="C55" s="54" t="n"/>
      <c r="D55" s="54" t="n"/>
      <c r="E55" s="55" t="n"/>
      <c r="F55" s="54" t="n"/>
      <c r="G55" s="51">
        <f>IF(B55&lt;&gt;"",TEXT(B55,"mmm yyyy"),"–")</f>
        <v/>
      </c>
    </row>
    <row r="56" ht="19" customHeight="1">
      <c r="B56" s="56" t="n"/>
      <c r="C56" s="56" t="n"/>
      <c r="D56" s="56" t="n"/>
      <c r="E56" s="57" t="n"/>
      <c r="F56" s="56" t="n"/>
      <c r="G56" s="53">
        <f>IF(B56&lt;&gt;"",TEXT(B56,"mmm yyyy"),"–")</f>
        <v/>
      </c>
    </row>
    <row r="57" ht="19" customHeight="1">
      <c r="B57" s="54" t="n"/>
      <c r="C57" s="54" t="n"/>
      <c r="D57" s="54" t="n"/>
      <c r="E57" s="55" t="n"/>
      <c r="F57" s="54" t="n"/>
      <c r="G57" s="51">
        <f>IF(B57&lt;&gt;"",TEXT(B57,"mmm yyyy"),"–")</f>
        <v/>
      </c>
    </row>
    <row r="58" ht="19" customHeight="1">
      <c r="B58" s="56" t="n"/>
      <c r="C58" s="56" t="n"/>
      <c r="D58" s="56" t="n"/>
      <c r="E58" s="57" t="n"/>
      <c r="F58" s="56" t="n"/>
      <c r="G58" s="53">
        <f>IF(B58&lt;&gt;"",TEXT(B58,"mmm yyyy"),"–")</f>
        <v/>
      </c>
    </row>
    <row r="59" ht="19" customHeight="1">
      <c r="B59" s="54" t="n"/>
      <c r="C59" s="54" t="n"/>
      <c r="D59" s="54" t="n"/>
      <c r="E59" s="55" t="n"/>
      <c r="F59" s="54" t="n"/>
      <c r="G59" s="51">
        <f>IF(B59&lt;&gt;"",TEXT(B59,"mmm yyyy"),"–")</f>
        <v/>
      </c>
    </row>
    <row r="60" ht="19" customHeight="1">
      <c r="B60" s="56" t="n"/>
      <c r="C60" s="56" t="n"/>
      <c r="D60" s="56" t="n"/>
      <c r="E60" s="57" t="n"/>
      <c r="F60" s="56" t="n"/>
      <c r="G60" s="53">
        <f>IF(B60&lt;&gt;"",TEXT(B60,"mmm yyyy"),"–")</f>
        <v/>
      </c>
    </row>
    <row r="61" ht="19" customHeight="1">
      <c r="B61" s="54" t="n"/>
      <c r="C61" s="54" t="n"/>
      <c r="D61" s="54" t="n"/>
      <c r="E61" s="55" t="n"/>
      <c r="F61" s="54" t="n"/>
      <c r="G61" s="51">
        <f>IF(B61&lt;&gt;"",TEXT(B61,"mmm yyyy"),"–")</f>
        <v/>
      </c>
    </row>
    <row r="62" ht="19" customHeight="1">
      <c r="B62" s="56" t="n"/>
      <c r="C62" s="56" t="n"/>
      <c r="D62" s="56" t="n"/>
      <c r="E62" s="57" t="n"/>
      <c r="F62" s="56" t="n"/>
      <c r="G62" s="53">
        <f>IF(B62&lt;&gt;"",TEXT(B62,"mmm yyyy"),"–")</f>
        <v/>
      </c>
    </row>
    <row r="63" ht="19" customHeight="1">
      <c r="B63" s="54" t="n"/>
      <c r="C63" s="54" t="n"/>
      <c r="D63" s="54" t="n"/>
      <c r="E63" s="55" t="n"/>
      <c r="F63" s="54" t="n"/>
      <c r="G63" s="51">
        <f>IF(B63&lt;&gt;"",TEXT(B63,"mmm yyyy"),"–")</f>
        <v/>
      </c>
    </row>
    <row r="64" ht="19" customHeight="1">
      <c r="B64" s="56" t="n"/>
      <c r="C64" s="56" t="n"/>
      <c r="D64" s="56" t="n"/>
      <c r="E64" s="57" t="n"/>
      <c r="F64" s="56" t="n"/>
      <c r="G64" s="53">
        <f>IF(B64&lt;&gt;"",TEXT(B64,"mmm yyyy"),"–")</f>
        <v/>
      </c>
    </row>
    <row r="65" ht="19" customHeight="1">
      <c r="B65" s="54" t="n"/>
      <c r="C65" s="54" t="n"/>
      <c r="D65" s="54" t="n"/>
      <c r="E65" s="55" t="n"/>
      <c r="F65" s="54" t="n"/>
      <c r="G65" s="51">
        <f>IF(B65&lt;&gt;"",TEXT(B65,"mmm yyyy"),"–")</f>
        <v/>
      </c>
    </row>
    <row r="66" ht="19" customHeight="1">
      <c r="B66" s="56" t="n"/>
      <c r="C66" s="56" t="n"/>
      <c r="D66" s="56" t="n"/>
      <c r="E66" s="57" t="n"/>
      <c r="F66" s="56" t="n"/>
      <c r="G66" s="53">
        <f>IF(B66&lt;&gt;"",TEXT(B66,"mmm yyyy"),"–")</f>
        <v/>
      </c>
    </row>
    <row r="67" ht="19" customHeight="1">
      <c r="B67" s="54" t="n"/>
      <c r="C67" s="54" t="n"/>
      <c r="D67" s="54" t="n"/>
      <c r="E67" s="55" t="n"/>
      <c r="F67" s="54" t="n"/>
      <c r="G67" s="51">
        <f>IF(B67&lt;&gt;"",TEXT(B67,"mmm yyyy"),"–")</f>
        <v/>
      </c>
    </row>
    <row r="68" ht="19" customHeight="1">
      <c r="B68" s="56" t="n"/>
      <c r="C68" s="56" t="n"/>
      <c r="D68" s="56" t="n"/>
      <c r="E68" s="57" t="n"/>
      <c r="F68" s="56" t="n"/>
      <c r="G68" s="53">
        <f>IF(B68&lt;&gt;"",TEXT(B68,"mmm yyyy"),"–")</f>
        <v/>
      </c>
    </row>
    <row r="69" ht="19" customHeight="1">
      <c r="B69" s="54" t="n"/>
      <c r="C69" s="54" t="n"/>
      <c r="D69" s="54" t="n"/>
      <c r="E69" s="55" t="n"/>
      <c r="F69" s="54" t="n"/>
      <c r="G69" s="51">
        <f>IF(B69&lt;&gt;"",TEXT(B69,"mmm yyyy"),"–")</f>
        <v/>
      </c>
    </row>
    <row r="70" ht="19" customHeight="1">
      <c r="B70" s="56" t="n"/>
      <c r="C70" s="56" t="n"/>
      <c r="D70" s="56" t="n"/>
      <c r="E70" s="57" t="n"/>
      <c r="F70" s="56" t="n"/>
      <c r="G70" s="53">
        <f>IF(B70&lt;&gt;"",TEXT(B70,"mmm yyyy"),"–")</f>
        <v/>
      </c>
    </row>
    <row r="71" ht="19" customHeight="1">
      <c r="B71" s="54" t="n"/>
      <c r="C71" s="54" t="n"/>
      <c r="D71" s="54" t="n"/>
      <c r="E71" s="55" t="n"/>
      <c r="F71" s="54" t="n"/>
      <c r="G71" s="51">
        <f>IF(B71&lt;&gt;"",TEXT(B71,"mmm yyyy"),"–")</f>
        <v/>
      </c>
    </row>
    <row r="72" ht="19" customHeight="1">
      <c r="B72" s="56" t="n"/>
      <c r="C72" s="56" t="n"/>
      <c r="D72" s="56" t="n"/>
      <c r="E72" s="57" t="n"/>
      <c r="F72" s="56" t="n"/>
      <c r="G72" s="53">
        <f>IF(B72&lt;&gt;"",TEXT(B72,"mmm yyyy"),"–")</f>
        <v/>
      </c>
    </row>
    <row r="73" ht="19" customHeight="1">
      <c r="B73" s="54" t="n"/>
      <c r="C73" s="54" t="n"/>
      <c r="D73" s="54" t="n"/>
      <c r="E73" s="55" t="n"/>
      <c r="F73" s="54" t="n"/>
      <c r="G73" s="51">
        <f>IF(B73&lt;&gt;"",TEXT(B73,"mmm yyyy"),"–")</f>
        <v/>
      </c>
    </row>
    <row r="74" ht="19" customHeight="1">
      <c r="B74" s="56" t="n"/>
      <c r="C74" s="56" t="n"/>
      <c r="D74" s="56" t="n"/>
      <c r="E74" s="57" t="n"/>
      <c r="F74" s="56" t="n"/>
      <c r="G74" s="53">
        <f>IF(B74&lt;&gt;"",TEXT(B74,"mmm yyyy"),"–")</f>
        <v/>
      </c>
    </row>
    <row r="75" ht="19" customHeight="1">
      <c r="B75" s="54" t="n"/>
      <c r="C75" s="54" t="n"/>
      <c r="D75" s="54" t="n"/>
      <c r="E75" s="55" t="n"/>
      <c r="F75" s="54" t="n"/>
      <c r="G75" s="51">
        <f>IF(B75&lt;&gt;"",TEXT(B75,"mmm yyyy"),"–")</f>
        <v/>
      </c>
    </row>
    <row r="76" ht="19" customHeight="1">
      <c r="B76" s="56" t="n"/>
      <c r="C76" s="56" t="n"/>
      <c r="D76" s="56" t="n"/>
      <c r="E76" s="57" t="n"/>
      <c r="F76" s="56" t="n"/>
      <c r="G76" s="53">
        <f>IF(B76&lt;&gt;"",TEXT(B76,"mmm yyyy"),"–")</f>
        <v/>
      </c>
    </row>
    <row r="77" ht="19" customHeight="1">
      <c r="B77" s="54" t="n"/>
      <c r="C77" s="54" t="n"/>
      <c r="D77" s="54" t="n"/>
      <c r="E77" s="55" t="n"/>
      <c r="F77" s="54" t="n"/>
      <c r="G77" s="51">
        <f>IF(B77&lt;&gt;"",TEXT(B77,"mmm yyyy"),"–")</f>
        <v/>
      </c>
    </row>
    <row r="78" ht="19" customHeight="1">
      <c r="B78" s="56" t="n"/>
      <c r="C78" s="56" t="n"/>
      <c r="D78" s="56" t="n"/>
      <c r="E78" s="57" t="n"/>
      <c r="F78" s="56" t="n"/>
      <c r="G78" s="53">
        <f>IF(B78&lt;&gt;"",TEXT(B78,"mmm yyyy"),"–")</f>
        <v/>
      </c>
    </row>
    <row r="79" ht="19" customHeight="1">
      <c r="B79" s="54" t="n"/>
      <c r="C79" s="54" t="n"/>
      <c r="D79" s="54" t="n"/>
      <c r="E79" s="55" t="n"/>
      <c r="F79" s="54" t="n"/>
      <c r="G79" s="51">
        <f>IF(B79&lt;&gt;"",TEXT(B79,"mmm yyyy"),"–")</f>
        <v/>
      </c>
    </row>
    <row r="80" ht="19" customHeight="1">
      <c r="B80" s="56" t="n"/>
      <c r="C80" s="56" t="n"/>
      <c r="D80" s="56" t="n"/>
      <c r="E80" s="57" t="n"/>
      <c r="F80" s="56" t="n"/>
      <c r="G80" s="53">
        <f>IF(B80&lt;&gt;"",TEXT(B80,"mmm yyyy"),"–")</f>
        <v/>
      </c>
    </row>
    <row r="81" ht="19" customHeight="1">
      <c r="B81" s="54" t="n"/>
      <c r="C81" s="54" t="n"/>
      <c r="D81" s="54" t="n"/>
      <c r="E81" s="55" t="n"/>
      <c r="F81" s="54" t="n"/>
      <c r="G81" s="51">
        <f>IF(B81&lt;&gt;"",TEXT(B81,"mmm yyyy"),"–")</f>
        <v/>
      </c>
    </row>
    <row r="82" ht="19" customHeight="1">
      <c r="B82" s="56" t="n"/>
      <c r="C82" s="56" t="n"/>
      <c r="D82" s="56" t="n"/>
      <c r="E82" s="57" t="n"/>
      <c r="F82" s="56" t="n"/>
      <c r="G82" s="53">
        <f>IF(B82&lt;&gt;"",TEXT(B82,"mmm yyyy"),"–")</f>
        <v/>
      </c>
    </row>
    <row r="83" ht="19" customHeight="1">
      <c r="B83" s="54" t="n"/>
      <c r="C83" s="54" t="n"/>
      <c r="D83" s="54" t="n"/>
      <c r="E83" s="55" t="n"/>
      <c r="F83" s="54" t="n"/>
      <c r="G83" s="51">
        <f>IF(B83&lt;&gt;"",TEXT(B83,"mmm yyyy"),"–")</f>
        <v/>
      </c>
    </row>
    <row r="84" ht="19" customHeight="1">
      <c r="B84" s="56" t="n"/>
      <c r="C84" s="56" t="n"/>
      <c r="D84" s="56" t="n"/>
      <c r="E84" s="57" t="n"/>
      <c r="F84" s="56" t="n"/>
      <c r="G84" s="53">
        <f>IF(B84&lt;&gt;"",TEXT(B84,"mmm yyyy"),"–")</f>
        <v/>
      </c>
    </row>
    <row r="85" ht="19" customHeight="1">
      <c r="B85" s="54" t="n"/>
      <c r="C85" s="54" t="n"/>
      <c r="D85" s="54" t="n"/>
      <c r="E85" s="55" t="n"/>
      <c r="F85" s="54" t="n"/>
      <c r="G85" s="51">
        <f>IF(B85&lt;&gt;"",TEXT(B85,"mmm yyyy"),"–")</f>
        <v/>
      </c>
    </row>
    <row r="86" ht="19" customHeight="1">
      <c r="B86" s="56" t="n"/>
      <c r="C86" s="56" t="n"/>
      <c r="D86" s="56" t="n"/>
      <c r="E86" s="57" t="n"/>
      <c r="F86" s="56" t="n"/>
      <c r="G86" s="53">
        <f>IF(B86&lt;&gt;"",TEXT(B86,"mmm yyyy"),"–")</f>
        <v/>
      </c>
    </row>
    <row r="87" ht="19" customHeight="1">
      <c r="B87" s="54" t="n"/>
      <c r="C87" s="54" t="n"/>
      <c r="D87" s="54" t="n"/>
      <c r="E87" s="55" t="n"/>
      <c r="F87" s="54" t="n"/>
      <c r="G87" s="51">
        <f>IF(B87&lt;&gt;"",TEXT(B87,"mmm yyyy"),"–")</f>
        <v/>
      </c>
    </row>
    <row r="88" ht="19" customHeight="1">
      <c r="B88" s="56" t="n"/>
      <c r="C88" s="56" t="n"/>
      <c r="D88" s="56" t="n"/>
      <c r="E88" s="57" t="n"/>
      <c r="F88" s="56" t="n"/>
      <c r="G88" s="53">
        <f>IF(B88&lt;&gt;"",TEXT(B88,"mmm yyyy"),"–")</f>
        <v/>
      </c>
    </row>
    <row r="89" ht="19" customHeight="1">
      <c r="B89" s="54" t="n"/>
      <c r="C89" s="54" t="n"/>
      <c r="D89" s="54" t="n"/>
      <c r="E89" s="55" t="n"/>
      <c r="F89" s="54" t="n"/>
      <c r="G89" s="51">
        <f>IF(B89&lt;&gt;"",TEXT(B89,"mmm yyyy"),"–")</f>
        <v/>
      </c>
    </row>
    <row r="90" ht="19" customHeight="1">
      <c r="B90" s="56" t="n"/>
      <c r="C90" s="56" t="n"/>
      <c r="D90" s="56" t="n"/>
      <c r="E90" s="57" t="n"/>
      <c r="F90" s="56" t="n"/>
      <c r="G90" s="53">
        <f>IF(B90&lt;&gt;"",TEXT(B90,"mmm yyyy"),"–")</f>
        <v/>
      </c>
    </row>
    <row r="91" ht="19" customHeight="1">
      <c r="B91" s="54" t="n"/>
      <c r="C91" s="54" t="n"/>
      <c r="D91" s="54" t="n"/>
      <c r="E91" s="55" t="n"/>
      <c r="F91" s="54" t="n"/>
      <c r="G91" s="51">
        <f>IF(B91&lt;&gt;"",TEXT(B91,"mmm yyyy"),"–")</f>
        <v/>
      </c>
    </row>
    <row r="92" ht="19" customHeight="1">
      <c r="B92" s="56" t="n"/>
      <c r="C92" s="56" t="n"/>
      <c r="D92" s="56" t="n"/>
      <c r="E92" s="57" t="n"/>
      <c r="F92" s="56" t="n"/>
      <c r="G92" s="53">
        <f>IF(B92&lt;&gt;"",TEXT(B92,"mmm yyyy"),"–")</f>
        <v/>
      </c>
    </row>
    <row r="93" ht="19" customHeight="1">
      <c r="B93" s="54" t="n"/>
      <c r="C93" s="54" t="n"/>
      <c r="D93" s="54" t="n"/>
      <c r="E93" s="55" t="n"/>
      <c r="F93" s="54" t="n"/>
      <c r="G93" s="51">
        <f>IF(B93&lt;&gt;"",TEXT(B93,"mmm yyyy"),"–")</f>
        <v/>
      </c>
    </row>
    <row r="94" ht="19" customHeight="1">
      <c r="B94" s="56" t="n"/>
      <c r="C94" s="56" t="n"/>
      <c r="D94" s="56" t="n"/>
      <c r="E94" s="57" t="n"/>
      <c r="F94" s="56" t="n"/>
      <c r="G94" s="53">
        <f>IF(B94&lt;&gt;"",TEXT(B94,"mmm yyyy"),"–")</f>
        <v/>
      </c>
    </row>
    <row r="95" ht="19" customHeight="1">
      <c r="B95" s="54" t="n"/>
      <c r="C95" s="54" t="n"/>
      <c r="D95" s="54" t="n"/>
      <c r="E95" s="55" t="n"/>
      <c r="F95" s="54" t="n"/>
      <c r="G95" s="51">
        <f>IF(B95&lt;&gt;"",TEXT(B95,"mmm yyyy"),"–")</f>
        <v/>
      </c>
    </row>
    <row r="96" ht="19" customHeight="1">
      <c r="B96" s="56" t="n"/>
      <c r="C96" s="56" t="n"/>
      <c r="D96" s="56" t="n"/>
      <c r="E96" s="57" t="n"/>
      <c r="F96" s="56" t="n"/>
      <c r="G96" s="53">
        <f>IF(B96&lt;&gt;"",TEXT(B96,"mmm yyyy"),"–")</f>
        <v/>
      </c>
    </row>
    <row r="97" ht="19" customHeight="1">
      <c r="B97" s="54" t="n"/>
      <c r="C97" s="54" t="n"/>
      <c r="D97" s="54" t="n"/>
      <c r="E97" s="55" t="n"/>
      <c r="F97" s="54" t="n"/>
      <c r="G97" s="51">
        <f>IF(B97&lt;&gt;"",TEXT(B97,"mmm yyyy"),"–")</f>
        <v/>
      </c>
    </row>
    <row r="98" ht="19" customHeight="1">
      <c r="B98" s="56" t="n"/>
      <c r="C98" s="56" t="n"/>
      <c r="D98" s="56" t="n"/>
      <c r="E98" s="57" t="n"/>
      <c r="F98" s="56" t="n"/>
      <c r="G98" s="53">
        <f>IF(B98&lt;&gt;"",TEXT(B98,"mmm yyyy"),"–")</f>
        <v/>
      </c>
    </row>
    <row r="99" ht="19" customHeight="1">
      <c r="B99" s="54" t="n"/>
      <c r="C99" s="54" t="n"/>
      <c r="D99" s="54" t="n"/>
      <c r="E99" s="55" t="n"/>
      <c r="F99" s="54" t="n"/>
      <c r="G99" s="51">
        <f>IF(B99&lt;&gt;"",TEXT(B99,"mmm yyyy"),"–")</f>
        <v/>
      </c>
    </row>
    <row r="100" ht="19" customHeight="1">
      <c r="B100" s="56" t="n"/>
      <c r="C100" s="56" t="n"/>
      <c r="D100" s="56" t="n"/>
      <c r="E100" s="57" t="n"/>
      <c r="F100" s="56" t="n"/>
      <c r="G100" s="53">
        <f>IF(B100&lt;&gt;"",TEXT(B100,"mmm yyyy"),"–")</f>
        <v/>
      </c>
    </row>
    <row r="101" ht="19" customHeight="1">
      <c r="B101" s="54" t="n"/>
      <c r="C101" s="54" t="n"/>
      <c r="D101" s="54" t="n"/>
      <c r="E101" s="55" t="n"/>
      <c r="F101" s="54" t="n"/>
      <c r="G101" s="51">
        <f>IF(B101&lt;&gt;"",TEXT(B101,"mmm yyyy"),"–")</f>
        <v/>
      </c>
    </row>
    <row r="102" ht="19" customHeight="1">
      <c r="B102" s="56" t="n"/>
      <c r="C102" s="56" t="n"/>
      <c r="D102" s="56" t="n"/>
      <c r="E102" s="57" t="n"/>
      <c r="F102" s="56" t="n"/>
      <c r="G102" s="53">
        <f>IF(B102&lt;&gt;"",TEXT(B102,"mmm yyyy"),"–")</f>
        <v/>
      </c>
    </row>
    <row r="103" ht="19" customHeight="1">
      <c r="B103" s="54" t="n"/>
      <c r="C103" s="54" t="n"/>
      <c r="D103" s="54" t="n"/>
      <c r="E103" s="55" t="n"/>
      <c r="F103" s="54" t="n"/>
      <c r="G103" s="51">
        <f>IF(B103&lt;&gt;"",TEXT(B103,"mmm yyyy"),"–")</f>
        <v/>
      </c>
    </row>
    <row r="104" ht="19" customHeight="1">
      <c r="B104" s="56" t="n"/>
      <c r="C104" s="56" t="n"/>
      <c r="D104" s="56" t="n"/>
      <c r="E104" s="57" t="n"/>
      <c r="F104" s="56" t="n"/>
      <c r="G104" s="53">
        <f>IF(B104&lt;&gt;"",TEXT(B104,"mmm yyyy"),"–")</f>
        <v/>
      </c>
    </row>
    <row r="105" ht="19" customHeight="1">
      <c r="B105" s="54" t="n"/>
      <c r="C105" s="54" t="n"/>
      <c r="D105" s="54" t="n"/>
      <c r="E105" s="55" t="n"/>
      <c r="F105" s="54" t="n"/>
      <c r="G105" s="51">
        <f>IF(B105&lt;&gt;"",TEXT(B105,"mmm yyyy"),"–")</f>
        <v/>
      </c>
    </row>
    <row r="106" ht="19" customHeight="1">
      <c r="B106" s="56" t="n"/>
      <c r="C106" s="56" t="n"/>
      <c r="D106" s="56" t="n"/>
      <c r="E106" s="57" t="n"/>
      <c r="F106" s="56" t="n"/>
      <c r="G106" s="53">
        <f>IF(B106&lt;&gt;"",TEXT(B106,"mmm yyyy"),"–")</f>
        <v/>
      </c>
    </row>
    <row r="107" ht="19" customHeight="1">
      <c r="B107" s="54" t="n"/>
      <c r="C107" s="54" t="n"/>
      <c r="D107" s="54" t="n"/>
      <c r="E107" s="55" t="n"/>
      <c r="F107" s="54" t="n"/>
      <c r="G107" s="51">
        <f>IF(B107&lt;&gt;"",TEXT(B107,"mmm yyyy"),"–")</f>
        <v/>
      </c>
    </row>
    <row r="108" ht="19" customHeight="1">
      <c r="B108" s="56" t="n"/>
      <c r="C108" s="56" t="n"/>
      <c r="D108" s="56" t="n"/>
      <c r="E108" s="57" t="n"/>
      <c r="F108" s="56" t="n"/>
      <c r="G108" s="53">
        <f>IF(B108&lt;&gt;"",TEXT(B108,"mmm yyyy"),"–")</f>
        <v/>
      </c>
    </row>
    <row r="109" ht="19" customHeight="1">
      <c r="B109" s="54" t="n"/>
      <c r="C109" s="54" t="n"/>
      <c r="D109" s="54" t="n"/>
      <c r="E109" s="55" t="n"/>
      <c r="F109" s="54" t="n"/>
      <c r="G109" s="51">
        <f>IF(B109&lt;&gt;"",TEXT(B109,"mmm yyyy"),"–")</f>
        <v/>
      </c>
    </row>
    <row r="110" ht="19" customHeight="1">
      <c r="B110" s="56" t="n"/>
      <c r="C110" s="56" t="n"/>
      <c r="D110" s="56" t="n"/>
      <c r="E110" s="57" t="n"/>
      <c r="F110" s="56" t="n"/>
      <c r="G110" s="53">
        <f>IF(B110&lt;&gt;"",TEXT(B110,"mmm yyyy"),"–")</f>
        <v/>
      </c>
    </row>
    <row r="111" ht="19" customHeight="1">
      <c r="B111" s="54" t="n"/>
      <c r="C111" s="54" t="n"/>
      <c r="D111" s="54" t="n"/>
      <c r="E111" s="55" t="n"/>
      <c r="F111" s="54" t="n"/>
      <c r="G111" s="51">
        <f>IF(B111&lt;&gt;"",TEXT(B111,"mmm yyyy"),"–")</f>
        <v/>
      </c>
    </row>
    <row r="112" ht="19" customHeight="1">
      <c r="B112" s="56" t="n"/>
      <c r="C112" s="56" t="n"/>
      <c r="D112" s="56" t="n"/>
      <c r="E112" s="57" t="n"/>
      <c r="F112" s="56" t="n"/>
      <c r="G112" s="53">
        <f>IF(B112&lt;&gt;"",TEXT(B112,"mmm yyyy"),"–")</f>
        <v/>
      </c>
    </row>
    <row r="113" ht="19" customHeight="1">
      <c r="B113" s="54" t="n"/>
      <c r="C113" s="54" t="n"/>
      <c r="D113" s="54" t="n"/>
      <c r="E113" s="55" t="n"/>
      <c r="F113" s="54" t="n"/>
      <c r="G113" s="51">
        <f>IF(B113&lt;&gt;"",TEXT(B113,"mmm yyyy"),"–")</f>
        <v/>
      </c>
    </row>
    <row r="114" ht="19" customHeight="1">
      <c r="B114" s="56" t="n"/>
      <c r="C114" s="56" t="n"/>
      <c r="D114" s="56" t="n"/>
      <c r="E114" s="57" t="n"/>
      <c r="F114" s="56" t="n"/>
      <c r="G114" s="53">
        <f>IF(B114&lt;&gt;"",TEXT(B114,"mmm yyyy"),"–")</f>
        <v/>
      </c>
    </row>
    <row r="115" ht="19" customHeight="1">
      <c r="B115" s="54" t="n"/>
      <c r="C115" s="54" t="n"/>
      <c r="D115" s="54" t="n"/>
      <c r="E115" s="55" t="n"/>
      <c r="F115" s="54" t="n"/>
      <c r="G115" s="51">
        <f>IF(B115&lt;&gt;"",TEXT(B115,"mmm yyyy"),"–")</f>
        <v/>
      </c>
    </row>
    <row r="116" ht="19" customHeight="1">
      <c r="B116" s="56" t="n"/>
      <c r="C116" s="56" t="n"/>
      <c r="D116" s="56" t="n"/>
      <c r="E116" s="57" t="n"/>
      <c r="F116" s="56" t="n"/>
      <c r="G116" s="53">
        <f>IF(B116&lt;&gt;"",TEXT(B116,"mmm yyyy"),"–")</f>
        <v/>
      </c>
    </row>
    <row r="117" ht="19" customHeight="1">
      <c r="B117" s="54" t="n"/>
      <c r="C117" s="54" t="n"/>
      <c r="D117" s="54" t="n"/>
      <c r="E117" s="55" t="n"/>
      <c r="F117" s="54" t="n"/>
      <c r="G117" s="51">
        <f>IF(B117&lt;&gt;"",TEXT(B117,"mmm yyyy"),"–")</f>
        <v/>
      </c>
    </row>
    <row r="118" ht="19" customHeight="1">
      <c r="B118" s="56" t="n"/>
      <c r="C118" s="56" t="n"/>
      <c r="D118" s="56" t="n"/>
      <c r="E118" s="57" t="n"/>
      <c r="F118" s="56" t="n"/>
      <c r="G118" s="53">
        <f>IF(B118&lt;&gt;"",TEXT(B118,"mmm yyyy"),"–")</f>
        <v/>
      </c>
    </row>
    <row r="119" ht="19" customHeight="1">
      <c r="B119" s="54" t="n"/>
      <c r="C119" s="54" t="n"/>
      <c r="D119" s="54" t="n"/>
      <c r="E119" s="55" t="n"/>
      <c r="F119" s="54" t="n"/>
      <c r="G119" s="51">
        <f>IF(B119&lt;&gt;"",TEXT(B119,"mmm yyyy"),"–")</f>
        <v/>
      </c>
    </row>
    <row r="120" ht="19" customHeight="1">
      <c r="B120" s="56" t="n"/>
      <c r="C120" s="56" t="n"/>
      <c r="D120" s="56" t="n"/>
      <c r="E120" s="57" t="n"/>
      <c r="F120" s="56" t="n"/>
      <c r="G120" s="53">
        <f>IF(B120&lt;&gt;"",TEXT(B120,"mmm yyyy"),"–")</f>
        <v/>
      </c>
    </row>
    <row r="121" ht="19" customHeight="1">
      <c r="B121" s="54" t="n"/>
      <c r="C121" s="54" t="n"/>
      <c r="D121" s="54" t="n"/>
      <c r="E121" s="55" t="n"/>
      <c r="F121" s="54" t="n"/>
      <c r="G121" s="51">
        <f>IF(B121&lt;&gt;"",TEXT(B121,"mmm yyyy"),"–")</f>
        <v/>
      </c>
    </row>
    <row r="122" ht="19" customHeight="1">
      <c r="B122" s="56" t="n"/>
      <c r="C122" s="56" t="n"/>
      <c r="D122" s="56" t="n"/>
      <c r="E122" s="57" t="n"/>
      <c r="F122" s="56" t="n"/>
      <c r="G122" s="53">
        <f>IF(B122&lt;&gt;"",TEXT(B122,"mmm yyyy"),"–")</f>
        <v/>
      </c>
    </row>
    <row r="123" ht="19" customHeight="1">
      <c r="B123" s="54" t="n"/>
      <c r="C123" s="54" t="n"/>
      <c r="D123" s="54" t="n"/>
      <c r="E123" s="55" t="n"/>
      <c r="F123" s="54" t="n"/>
      <c r="G123" s="51">
        <f>IF(B123&lt;&gt;"",TEXT(B123,"mmm yyyy"),"–")</f>
        <v/>
      </c>
    </row>
    <row r="124" ht="19" customHeight="1">
      <c r="B124" s="56" t="n"/>
      <c r="C124" s="56" t="n"/>
      <c r="D124" s="56" t="n"/>
      <c r="E124" s="57" t="n"/>
      <c r="F124" s="56" t="n"/>
      <c r="G124" s="53">
        <f>IF(B124&lt;&gt;"",TEXT(B124,"mmm yyyy"),"–")</f>
        <v/>
      </c>
    </row>
    <row r="125" ht="19" customHeight="1">
      <c r="B125" s="54" t="n"/>
      <c r="C125" s="54" t="n"/>
      <c r="D125" s="54" t="n"/>
      <c r="E125" s="55" t="n"/>
      <c r="F125" s="54" t="n"/>
      <c r="G125" s="51">
        <f>IF(B125&lt;&gt;"",TEXT(B125,"mmm yyyy"),"–")</f>
        <v/>
      </c>
    </row>
    <row r="126" ht="19" customHeight="1">
      <c r="B126" s="56" t="n"/>
      <c r="C126" s="56" t="n"/>
      <c r="D126" s="56" t="n"/>
      <c r="E126" s="57" t="n"/>
      <c r="F126" s="56" t="n"/>
      <c r="G126" s="53">
        <f>IF(B126&lt;&gt;"",TEXT(B126,"mmm yyyy"),"–")</f>
        <v/>
      </c>
    </row>
    <row r="127" ht="19" customHeight="1">
      <c r="B127" s="54" t="n"/>
      <c r="C127" s="54" t="n"/>
      <c r="D127" s="54" t="n"/>
      <c r="E127" s="55" t="n"/>
      <c r="F127" s="54" t="n"/>
      <c r="G127" s="51">
        <f>IF(B127&lt;&gt;"",TEXT(B127,"mmm yyyy"),"–")</f>
        <v/>
      </c>
    </row>
    <row r="128" ht="19" customHeight="1">
      <c r="B128" s="56" t="n"/>
      <c r="C128" s="56" t="n"/>
      <c r="D128" s="56" t="n"/>
      <c r="E128" s="57" t="n"/>
      <c r="F128" s="56" t="n"/>
      <c r="G128" s="53">
        <f>IF(B128&lt;&gt;"",TEXT(B128,"mmm yyyy"),"–")</f>
        <v/>
      </c>
    </row>
    <row r="129" ht="19" customHeight="1">
      <c r="B129" s="54" t="n"/>
      <c r="C129" s="54" t="n"/>
      <c r="D129" s="54" t="n"/>
      <c r="E129" s="55" t="n"/>
      <c r="F129" s="54" t="n"/>
      <c r="G129" s="51">
        <f>IF(B129&lt;&gt;"",TEXT(B129,"mmm yyyy"),"–")</f>
        <v/>
      </c>
    </row>
    <row r="130" ht="19" customHeight="1">
      <c r="B130" s="56" t="n"/>
      <c r="C130" s="56" t="n"/>
      <c r="D130" s="56" t="n"/>
      <c r="E130" s="57" t="n"/>
      <c r="F130" s="56" t="n"/>
      <c r="G130" s="53">
        <f>IF(B130&lt;&gt;"",TEXT(B130,"mmm yyyy"),"–")</f>
        <v/>
      </c>
    </row>
    <row r="131" ht="19" customHeight="1">
      <c r="B131" s="54" t="n"/>
      <c r="C131" s="54" t="n"/>
      <c r="D131" s="54" t="n"/>
      <c r="E131" s="55" t="n"/>
      <c r="F131" s="54" t="n"/>
      <c r="G131" s="51">
        <f>IF(B131&lt;&gt;"",TEXT(B131,"mmm yyyy"),"–")</f>
        <v/>
      </c>
    </row>
    <row r="132" ht="19" customHeight="1">
      <c r="B132" s="56" t="n"/>
      <c r="C132" s="56" t="n"/>
      <c r="D132" s="56" t="n"/>
      <c r="E132" s="57" t="n"/>
      <c r="F132" s="56" t="n"/>
      <c r="G132" s="53">
        <f>IF(B132&lt;&gt;"",TEXT(B132,"mmm yyyy"),"–")</f>
        <v/>
      </c>
    </row>
    <row r="133" ht="19" customHeight="1">
      <c r="B133" s="54" t="n"/>
      <c r="C133" s="54" t="n"/>
      <c r="D133" s="54" t="n"/>
      <c r="E133" s="55" t="n"/>
      <c r="F133" s="54" t="n"/>
      <c r="G133" s="51">
        <f>IF(B133&lt;&gt;"",TEXT(B133,"mmm yyyy"),"–")</f>
        <v/>
      </c>
    </row>
    <row r="134" ht="19" customHeight="1">
      <c r="B134" s="56" t="n"/>
      <c r="C134" s="56" t="n"/>
      <c r="D134" s="56" t="n"/>
      <c r="E134" s="57" t="n"/>
      <c r="F134" s="56" t="n"/>
      <c r="G134" s="53">
        <f>IF(B134&lt;&gt;"",TEXT(B134,"mmm yyyy"),"–")</f>
        <v/>
      </c>
    </row>
    <row r="135" ht="19" customHeight="1">
      <c r="B135" s="54" t="n"/>
      <c r="C135" s="54" t="n"/>
      <c r="D135" s="54" t="n"/>
      <c r="E135" s="55" t="n"/>
      <c r="F135" s="54" t="n"/>
      <c r="G135" s="51">
        <f>IF(B135&lt;&gt;"",TEXT(B135,"mmm yyyy"),"–")</f>
        <v/>
      </c>
    </row>
    <row r="136" ht="19" customHeight="1">
      <c r="B136" s="56" t="n"/>
      <c r="C136" s="56" t="n"/>
      <c r="D136" s="56" t="n"/>
      <c r="E136" s="57" t="n"/>
      <c r="F136" s="56" t="n"/>
      <c r="G136" s="53">
        <f>IF(B136&lt;&gt;"",TEXT(B136,"mmm yyyy"),"–")</f>
        <v/>
      </c>
    </row>
    <row r="137" ht="19" customHeight="1">
      <c r="B137" s="54" t="n"/>
      <c r="C137" s="54" t="n"/>
      <c r="D137" s="54" t="n"/>
      <c r="E137" s="55" t="n"/>
      <c r="F137" s="54" t="n"/>
      <c r="G137" s="51">
        <f>IF(B137&lt;&gt;"",TEXT(B137,"mmm yyyy"),"–")</f>
        <v/>
      </c>
    </row>
    <row r="138" ht="19" customHeight="1">
      <c r="B138" s="56" t="n"/>
      <c r="C138" s="56" t="n"/>
      <c r="D138" s="56" t="n"/>
      <c r="E138" s="57" t="n"/>
      <c r="F138" s="56" t="n"/>
      <c r="G138" s="53">
        <f>IF(B138&lt;&gt;"",TEXT(B138,"mmm yyyy"),"–")</f>
        <v/>
      </c>
    </row>
    <row r="139" ht="19" customHeight="1">
      <c r="B139" s="54" t="n"/>
      <c r="C139" s="54" t="n"/>
      <c r="D139" s="54" t="n"/>
      <c r="E139" s="55" t="n"/>
      <c r="F139" s="54" t="n"/>
      <c r="G139" s="51">
        <f>IF(B139&lt;&gt;"",TEXT(B139,"mmm yyyy"),"–")</f>
        <v/>
      </c>
    </row>
    <row r="140" ht="19" customHeight="1">
      <c r="B140" s="56" t="n"/>
      <c r="C140" s="56" t="n"/>
      <c r="D140" s="56" t="n"/>
      <c r="E140" s="57" t="n"/>
      <c r="F140" s="56" t="n"/>
      <c r="G140" s="53">
        <f>IF(B140&lt;&gt;"",TEXT(B140,"mmm yyyy"),"–")</f>
        <v/>
      </c>
    </row>
    <row r="141" ht="19" customHeight="1">
      <c r="B141" s="54" t="n"/>
      <c r="C141" s="54" t="n"/>
      <c r="D141" s="54" t="n"/>
      <c r="E141" s="55" t="n"/>
      <c r="F141" s="54" t="n"/>
      <c r="G141" s="51">
        <f>IF(B141&lt;&gt;"",TEXT(B141,"mmm yyyy"),"–")</f>
        <v/>
      </c>
    </row>
    <row r="142" ht="19" customHeight="1">
      <c r="B142" s="56" t="n"/>
      <c r="C142" s="56" t="n"/>
      <c r="D142" s="56" t="n"/>
      <c r="E142" s="57" t="n"/>
      <c r="F142" s="56" t="n"/>
      <c r="G142" s="53">
        <f>IF(B142&lt;&gt;"",TEXT(B142,"mmm yyyy"),"–")</f>
        <v/>
      </c>
    </row>
    <row r="143" ht="19" customHeight="1">
      <c r="B143" s="54" t="n"/>
      <c r="C143" s="54" t="n"/>
      <c r="D143" s="54" t="n"/>
      <c r="E143" s="55" t="n"/>
      <c r="F143" s="54" t="n"/>
      <c r="G143" s="51">
        <f>IF(B143&lt;&gt;"",TEXT(B143,"mmm yyyy"),"–")</f>
        <v/>
      </c>
    </row>
    <row r="144" ht="19" customHeight="1">
      <c r="B144" s="56" t="n"/>
      <c r="C144" s="56" t="n"/>
      <c r="D144" s="56" t="n"/>
      <c r="E144" s="57" t="n"/>
      <c r="F144" s="56" t="n"/>
      <c r="G144" s="53">
        <f>IF(B144&lt;&gt;"",TEXT(B144,"mmm yyyy"),"–")</f>
        <v/>
      </c>
    </row>
    <row r="145" ht="19" customHeight="1">
      <c r="B145" s="54" t="n"/>
      <c r="C145" s="54" t="n"/>
      <c r="D145" s="54" t="n"/>
      <c r="E145" s="55" t="n"/>
      <c r="F145" s="54" t="n"/>
      <c r="G145" s="51">
        <f>IF(B145&lt;&gt;"",TEXT(B145,"mmm yyyy"),"–")</f>
        <v/>
      </c>
    </row>
    <row r="146" ht="19" customHeight="1">
      <c r="B146" s="56" t="n"/>
      <c r="C146" s="56" t="n"/>
      <c r="D146" s="56" t="n"/>
      <c r="E146" s="57" t="n"/>
      <c r="F146" s="56" t="n"/>
      <c r="G146" s="53">
        <f>IF(B146&lt;&gt;"",TEXT(B146,"mmm yyyy"),"–")</f>
        <v/>
      </c>
    </row>
    <row r="147" ht="19" customHeight="1">
      <c r="B147" s="54" t="n"/>
      <c r="C147" s="54" t="n"/>
      <c r="D147" s="54" t="n"/>
      <c r="E147" s="55" t="n"/>
      <c r="F147" s="54" t="n"/>
      <c r="G147" s="51">
        <f>IF(B147&lt;&gt;"",TEXT(B147,"mmm yyyy"),"–")</f>
        <v/>
      </c>
    </row>
    <row r="148" ht="19" customHeight="1">
      <c r="B148" s="56" t="n"/>
      <c r="C148" s="56" t="n"/>
      <c r="D148" s="56" t="n"/>
      <c r="E148" s="57" t="n"/>
      <c r="F148" s="56" t="n"/>
      <c r="G148" s="53">
        <f>IF(B148&lt;&gt;"",TEXT(B148,"mmm yyyy"),"–")</f>
        <v/>
      </c>
    </row>
    <row r="149" ht="19" customHeight="1">
      <c r="B149" s="54" t="n"/>
      <c r="C149" s="54" t="n"/>
      <c r="D149" s="54" t="n"/>
      <c r="E149" s="55" t="n"/>
      <c r="F149" s="54" t="n"/>
      <c r="G149" s="51">
        <f>IF(B149&lt;&gt;"",TEXT(B149,"mmm yyyy"),"–")</f>
        <v/>
      </c>
    </row>
    <row r="150" ht="19" customHeight="1">
      <c r="B150" s="56" t="n"/>
      <c r="C150" s="56" t="n"/>
      <c r="D150" s="56" t="n"/>
      <c r="E150" s="57" t="n"/>
      <c r="F150" s="56" t="n"/>
      <c r="G150" s="53">
        <f>IF(B150&lt;&gt;"",TEXT(B150,"mmm yyyy"),"–")</f>
        <v/>
      </c>
    </row>
    <row r="151" ht="19" customHeight="1">
      <c r="B151" s="54" t="n"/>
      <c r="C151" s="54" t="n"/>
      <c r="D151" s="54" t="n"/>
      <c r="E151" s="55" t="n"/>
      <c r="F151" s="54" t="n"/>
      <c r="G151" s="51">
        <f>IF(B151&lt;&gt;"",TEXT(B151,"mmm yyyy"),"–")</f>
        <v/>
      </c>
    </row>
    <row r="152" ht="19" customHeight="1">
      <c r="B152" s="56" t="n"/>
      <c r="C152" s="56" t="n"/>
      <c r="D152" s="56" t="n"/>
      <c r="E152" s="57" t="n"/>
      <c r="F152" s="56" t="n"/>
      <c r="G152" s="53">
        <f>IF(B152&lt;&gt;"",TEXT(B152,"mmm yyyy"),"–")</f>
        <v/>
      </c>
    </row>
    <row r="153" ht="19" customHeight="1">
      <c r="B153" s="54" t="n"/>
      <c r="C153" s="54" t="n"/>
      <c r="D153" s="54" t="n"/>
      <c r="E153" s="55" t="n"/>
      <c r="F153" s="54" t="n"/>
      <c r="G153" s="51">
        <f>IF(B153&lt;&gt;"",TEXT(B153,"mmm yyyy"),"–")</f>
        <v/>
      </c>
    </row>
    <row r="154" ht="19" customHeight="1">
      <c r="B154" s="56" t="n"/>
      <c r="C154" s="56" t="n"/>
      <c r="D154" s="56" t="n"/>
      <c r="E154" s="57" t="n"/>
      <c r="F154" s="56" t="n"/>
      <c r="G154" s="53">
        <f>IF(B154&lt;&gt;"",TEXT(B154,"mmm yyyy"),"–")</f>
        <v/>
      </c>
    </row>
    <row r="155" ht="19" customHeight="1">
      <c r="B155" s="54" t="n"/>
      <c r="C155" s="54" t="n"/>
      <c r="D155" s="54" t="n"/>
      <c r="E155" s="55" t="n"/>
      <c r="F155" s="54" t="n"/>
      <c r="G155" s="51">
        <f>IF(B155&lt;&gt;"",TEXT(B155,"mmm yyyy"),"–")</f>
        <v/>
      </c>
    </row>
    <row r="156" ht="19" customHeight="1">
      <c r="B156" s="56" t="n"/>
      <c r="C156" s="56" t="n"/>
      <c r="D156" s="56" t="n"/>
      <c r="E156" s="57" t="n"/>
      <c r="F156" s="56" t="n"/>
      <c r="G156" s="53">
        <f>IF(B156&lt;&gt;"",TEXT(B156,"mmm yyyy"),"–")</f>
        <v/>
      </c>
    </row>
    <row r="157" ht="19" customHeight="1">
      <c r="B157" s="54" t="n"/>
      <c r="C157" s="54" t="n"/>
      <c r="D157" s="54" t="n"/>
      <c r="E157" s="55" t="n"/>
      <c r="F157" s="54" t="n"/>
      <c r="G157" s="51">
        <f>IF(B157&lt;&gt;"",TEXT(B157,"mmm yyyy"),"–")</f>
        <v/>
      </c>
    </row>
    <row r="158" ht="19" customHeight="1">
      <c r="B158" s="56" t="n"/>
      <c r="C158" s="56" t="n"/>
      <c r="D158" s="56" t="n"/>
      <c r="E158" s="57" t="n"/>
      <c r="F158" s="56" t="n"/>
      <c r="G158" s="53">
        <f>IF(B158&lt;&gt;"",TEXT(B158,"mmm yyyy"),"–")</f>
        <v/>
      </c>
    </row>
    <row r="159" ht="19" customHeight="1">
      <c r="B159" s="54" t="n"/>
      <c r="C159" s="54" t="n"/>
      <c r="D159" s="54" t="n"/>
      <c r="E159" s="55" t="n"/>
      <c r="F159" s="54" t="n"/>
      <c r="G159" s="51">
        <f>IF(B159&lt;&gt;"",TEXT(B159,"mmm yyyy"),"–")</f>
        <v/>
      </c>
    </row>
    <row r="160" ht="19" customHeight="1">
      <c r="B160" s="56" t="n"/>
      <c r="C160" s="56" t="n"/>
      <c r="D160" s="56" t="n"/>
      <c r="E160" s="57" t="n"/>
      <c r="F160" s="56" t="n"/>
      <c r="G160" s="53">
        <f>IF(B160&lt;&gt;"",TEXT(B160,"mmm yyyy"),"–")</f>
        <v/>
      </c>
    </row>
    <row r="161" ht="19" customHeight="1">
      <c r="B161" s="54" t="n"/>
      <c r="C161" s="54" t="n"/>
      <c r="D161" s="54" t="n"/>
      <c r="E161" s="55" t="n"/>
      <c r="F161" s="54" t="n"/>
      <c r="G161" s="51">
        <f>IF(B161&lt;&gt;"",TEXT(B161,"mmm yyyy"),"–")</f>
        <v/>
      </c>
    </row>
    <row r="162" ht="19" customHeight="1">
      <c r="B162" s="56" t="n"/>
      <c r="C162" s="56" t="n"/>
      <c r="D162" s="56" t="n"/>
      <c r="E162" s="57" t="n"/>
      <c r="F162" s="56" t="n"/>
      <c r="G162" s="53">
        <f>IF(B162&lt;&gt;"",TEXT(B162,"mmm yyyy"),"–")</f>
        <v/>
      </c>
    </row>
    <row r="163" ht="19" customHeight="1">
      <c r="B163" s="54" t="n"/>
      <c r="C163" s="54" t="n"/>
      <c r="D163" s="54" t="n"/>
      <c r="E163" s="55" t="n"/>
      <c r="F163" s="54" t="n"/>
      <c r="G163" s="51">
        <f>IF(B163&lt;&gt;"",TEXT(B163,"mmm yyyy"),"–")</f>
        <v/>
      </c>
    </row>
    <row r="164" ht="19" customHeight="1">
      <c r="B164" s="56" t="n"/>
      <c r="C164" s="56" t="n"/>
      <c r="D164" s="56" t="n"/>
      <c r="E164" s="57" t="n"/>
      <c r="F164" s="56" t="n"/>
      <c r="G164" s="53">
        <f>IF(B164&lt;&gt;"",TEXT(B164,"mmm yyyy"),"–")</f>
        <v/>
      </c>
    </row>
    <row r="165" ht="19" customHeight="1">
      <c r="B165" s="54" t="n"/>
      <c r="C165" s="54" t="n"/>
      <c r="D165" s="54" t="n"/>
      <c r="E165" s="55" t="n"/>
      <c r="F165" s="54" t="n"/>
      <c r="G165" s="51">
        <f>IF(B165&lt;&gt;"",TEXT(B165,"mmm yyyy"),"–")</f>
        <v/>
      </c>
    </row>
    <row r="166" ht="19" customHeight="1">
      <c r="B166" s="56" t="n"/>
      <c r="C166" s="56" t="n"/>
      <c r="D166" s="56" t="n"/>
      <c r="E166" s="57" t="n"/>
      <c r="F166" s="56" t="n"/>
      <c r="G166" s="53">
        <f>IF(B166&lt;&gt;"",TEXT(B166,"mmm yyyy"),"–")</f>
        <v/>
      </c>
    </row>
    <row r="167" ht="19" customHeight="1">
      <c r="B167" s="54" t="n"/>
      <c r="C167" s="54" t="n"/>
      <c r="D167" s="54" t="n"/>
      <c r="E167" s="55" t="n"/>
      <c r="F167" s="54" t="n"/>
      <c r="G167" s="51">
        <f>IF(B167&lt;&gt;"",TEXT(B167,"mmm yyyy"),"–")</f>
        <v/>
      </c>
    </row>
    <row r="168" ht="19" customHeight="1">
      <c r="B168" s="56" t="n"/>
      <c r="C168" s="56" t="n"/>
      <c r="D168" s="56" t="n"/>
      <c r="E168" s="57" t="n"/>
      <c r="F168" s="56" t="n"/>
      <c r="G168" s="53">
        <f>IF(B168&lt;&gt;"",TEXT(B168,"mmm yyyy"),"–")</f>
        <v/>
      </c>
    </row>
    <row r="169" ht="19" customHeight="1">
      <c r="B169" s="54" t="n"/>
      <c r="C169" s="54" t="n"/>
      <c r="D169" s="54" t="n"/>
      <c r="E169" s="55" t="n"/>
      <c r="F169" s="54" t="n"/>
      <c r="G169" s="51">
        <f>IF(B169&lt;&gt;"",TEXT(B169,"mmm yyyy"),"–")</f>
        <v/>
      </c>
    </row>
    <row r="170" ht="19" customHeight="1">
      <c r="B170" s="56" t="n"/>
      <c r="C170" s="56" t="n"/>
      <c r="D170" s="56" t="n"/>
      <c r="E170" s="57" t="n"/>
      <c r="F170" s="56" t="n"/>
      <c r="G170" s="53">
        <f>IF(B170&lt;&gt;"",TEXT(B170,"mmm yyyy"),"–")</f>
        <v/>
      </c>
    </row>
    <row r="171" ht="19" customHeight="1">
      <c r="B171" s="54" t="n"/>
      <c r="C171" s="54" t="n"/>
      <c r="D171" s="54" t="n"/>
      <c r="E171" s="55" t="n"/>
      <c r="F171" s="54" t="n"/>
      <c r="G171" s="51">
        <f>IF(B171&lt;&gt;"",TEXT(B171,"mmm yyyy"),"–")</f>
        <v/>
      </c>
    </row>
    <row r="172" ht="19" customHeight="1">
      <c r="B172" s="56" t="n"/>
      <c r="C172" s="56" t="n"/>
      <c r="D172" s="56" t="n"/>
      <c r="E172" s="57" t="n"/>
      <c r="F172" s="56" t="n"/>
      <c r="G172" s="53">
        <f>IF(B172&lt;&gt;"",TEXT(B172,"mmm yyyy"),"–")</f>
        <v/>
      </c>
    </row>
    <row r="173" ht="19" customHeight="1">
      <c r="B173" s="54" t="n"/>
      <c r="C173" s="54" t="n"/>
      <c r="D173" s="54" t="n"/>
      <c r="E173" s="55" t="n"/>
      <c r="F173" s="54" t="n"/>
      <c r="G173" s="51">
        <f>IF(B173&lt;&gt;"",TEXT(B173,"mmm yyyy"),"–")</f>
        <v/>
      </c>
    </row>
    <row r="174" ht="19" customHeight="1">
      <c r="B174" s="56" t="n"/>
      <c r="C174" s="56" t="n"/>
      <c r="D174" s="56" t="n"/>
      <c r="E174" s="57" t="n"/>
      <c r="F174" s="56" t="n"/>
      <c r="G174" s="53">
        <f>IF(B174&lt;&gt;"",TEXT(B174,"mmm yyyy"),"–")</f>
        <v/>
      </c>
    </row>
    <row r="175" ht="19" customHeight="1">
      <c r="B175" s="54" t="n"/>
      <c r="C175" s="54" t="n"/>
      <c r="D175" s="54" t="n"/>
      <c r="E175" s="55" t="n"/>
      <c r="F175" s="54" t="n"/>
      <c r="G175" s="51">
        <f>IF(B175&lt;&gt;"",TEXT(B175,"mmm yyyy"),"–")</f>
        <v/>
      </c>
    </row>
    <row r="176" ht="19" customHeight="1">
      <c r="B176" s="56" t="n"/>
      <c r="C176" s="56" t="n"/>
      <c r="D176" s="56" t="n"/>
      <c r="E176" s="57" t="n"/>
      <c r="F176" s="56" t="n"/>
      <c r="G176" s="53">
        <f>IF(B176&lt;&gt;"",TEXT(B176,"mmm yyyy"),"–")</f>
        <v/>
      </c>
    </row>
    <row r="177" ht="19" customHeight="1">
      <c r="B177" s="54" t="n"/>
      <c r="C177" s="54" t="n"/>
      <c r="D177" s="54" t="n"/>
      <c r="E177" s="55" t="n"/>
      <c r="F177" s="54" t="n"/>
      <c r="G177" s="51">
        <f>IF(B177&lt;&gt;"",TEXT(B177,"mmm yyyy"),"–")</f>
        <v/>
      </c>
    </row>
    <row r="178" ht="19" customHeight="1">
      <c r="B178" s="56" t="n"/>
      <c r="C178" s="56" t="n"/>
      <c r="D178" s="56" t="n"/>
      <c r="E178" s="57" t="n"/>
      <c r="F178" s="56" t="n"/>
      <c r="G178" s="53">
        <f>IF(B178&lt;&gt;"",TEXT(B178,"mmm yyyy"),"–")</f>
        <v/>
      </c>
    </row>
    <row r="179" ht="19" customHeight="1">
      <c r="B179" s="54" t="n"/>
      <c r="C179" s="54" t="n"/>
      <c r="D179" s="54" t="n"/>
      <c r="E179" s="55" t="n"/>
      <c r="F179" s="54" t="n"/>
      <c r="G179" s="51">
        <f>IF(B179&lt;&gt;"",TEXT(B179,"mmm yyyy"),"–")</f>
        <v/>
      </c>
    </row>
    <row r="180" ht="19" customHeight="1">
      <c r="B180" s="56" t="n"/>
      <c r="C180" s="56" t="n"/>
      <c r="D180" s="56" t="n"/>
      <c r="E180" s="57" t="n"/>
      <c r="F180" s="56" t="n"/>
      <c r="G180" s="53">
        <f>IF(B180&lt;&gt;"",TEXT(B180,"mmm yyyy"),"–")</f>
        <v/>
      </c>
    </row>
    <row r="181" ht="19" customHeight="1">
      <c r="B181" s="54" t="n"/>
      <c r="C181" s="54" t="n"/>
      <c r="D181" s="54" t="n"/>
      <c r="E181" s="55" t="n"/>
      <c r="F181" s="54" t="n"/>
      <c r="G181" s="51">
        <f>IF(B181&lt;&gt;"",TEXT(B181,"mmm yyyy"),"–")</f>
        <v/>
      </c>
    </row>
    <row r="182" ht="19" customHeight="1">
      <c r="B182" s="56" t="n"/>
      <c r="C182" s="56" t="n"/>
      <c r="D182" s="56" t="n"/>
      <c r="E182" s="57" t="n"/>
      <c r="F182" s="56" t="n"/>
      <c r="G182" s="53">
        <f>IF(B182&lt;&gt;"",TEXT(B182,"mmm yyyy"),"–")</f>
        <v/>
      </c>
    </row>
    <row r="183" ht="19" customHeight="1">
      <c r="B183" s="54" t="n"/>
      <c r="C183" s="54" t="n"/>
      <c r="D183" s="54" t="n"/>
      <c r="E183" s="55" t="n"/>
      <c r="F183" s="54" t="n"/>
      <c r="G183" s="51">
        <f>IF(B183&lt;&gt;"",TEXT(B183,"mmm yyyy"),"–")</f>
        <v/>
      </c>
    </row>
    <row r="184" ht="19" customHeight="1">
      <c r="B184" s="56" t="n"/>
      <c r="C184" s="56" t="n"/>
      <c r="D184" s="56" t="n"/>
      <c r="E184" s="57" t="n"/>
      <c r="F184" s="56" t="n"/>
      <c r="G184" s="53">
        <f>IF(B184&lt;&gt;"",TEXT(B184,"mmm yyyy"),"–")</f>
        <v/>
      </c>
    </row>
    <row r="185" ht="19" customHeight="1">
      <c r="B185" s="54" t="n"/>
      <c r="C185" s="54" t="n"/>
      <c r="D185" s="54" t="n"/>
      <c r="E185" s="55" t="n"/>
      <c r="F185" s="54" t="n"/>
      <c r="G185" s="51">
        <f>IF(B185&lt;&gt;"",TEXT(B185,"mmm yyyy"),"–")</f>
        <v/>
      </c>
    </row>
    <row r="186" ht="19" customHeight="1">
      <c r="B186" s="56" t="n"/>
      <c r="C186" s="56" t="n"/>
      <c r="D186" s="56" t="n"/>
      <c r="E186" s="57" t="n"/>
      <c r="F186" s="56" t="n"/>
      <c r="G186" s="53">
        <f>IF(B186&lt;&gt;"",TEXT(B186,"mmm yyyy"),"–")</f>
        <v/>
      </c>
    </row>
    <row r="187" ht="19" customHeight="1">
      <c r="B187" s="54" t="n"/>
      <c r="C187" s="54" t="n"/>
      <c r="D187" s="54" t="n"/>
      <c r="E187" s="55" t="n"/>
      <c r="F187" s="54" t="n"/>
      <c r="G187" s="51">
        <f>IF(B187&lt;&gt;"",TEXT(B187,"mmm yyyy"),"–")</f>
        <v/>
      </c>
    </row>
    <row r="188" ht="19" customHeight="1">
      <c r="B188" s="56" t="n"/>
      <c r="C188" s="56" t="n"/>
      <c r="D188" s="56" t="n"/>
      <c r="E188" s="57" t="n"/>
      <c r="F188" s="56" t="n"/>
      <c r="G188" s="53">
        <f>IF(B188&lt;&gt;"",TEXT(B188,"mmm yyyy"),"–")</f>
        <v/>
      </c>
    </row>
    <row r="189" ht="19" customHeight="1">
      <c r="B189" s="54" t="n"/>
      <c r="C189" s="54" t="n"/>
      <c r="D189" s="54" t="n"/>
      <c r="E189" s="55" t="n"/>
      <c r="F189" s="54" t="n"/>
      <c r="G189" s="51">
        <f>IF(B189&lt;&gt;"",TEXT(B189,"mmm yyyy"),"–")</f>
        <v/>
      </c>
    </row>
    <row r="190" ht="19" customHeight="1">
      <c r="B190" s="56" t="n"/>
      <c r="C190" s="56" t="n"/>
      <c r="D190" s="56" t="n"/>
      <c r="E190" s="57" t="n"/>
      <c r="F190" s="56" t="n"/>
      <c r="G190" s="53">
        <f>IF(B190&lt;&gt;"",TEXT(B190,"mmm yyyy"),"–")</f>
        <v/>
      </c>
    </row>
    <row r="191" ht="19" customHeight="1">
      <c r="B191" s="54" t="n"/>
      <c r="C191" s="54" t="n"/>
      <c r="D191" s="54" t="n"/>
      <c r="E191" s="55" t="n"/>
      <c r="F191" s="54" t="n"/>
      <c r="G191" s="51">
        <f>IF(B191&lt;&gt;"",TEXT(B191,"mmm yyyy"),"–")</f>
        <v/>
      </c>
    </row>
    <row r="192" ht="19" customHeight="1">
      <c r="B192" s="56" t="n"/>
      <c r="C192" s="56" t="n"/>
      <c r="D192" s="56" t="n"/>
      <c r="E192" s="57" t="n"/>
      <c r="F192" s="56" t="n"/>
      <c r="G192" s="53">
        <f>IF(B192&lt;&gt;"",TEXT(B192,"mmm yyyy"),"–")</f>
        <v/>
      </c>
    </row>
    <row r="193" ht="19" customHeight="1">
      <c r="B193" s="54" t="n"/>
      <c r="C193" s="54" t="n"/>
      <c r="D193" s="54" t="n"/>
      <c r="E193" s="55" t="n"/>
      <c r="F193" s="54" t="n"/>
      <c r="G193" s="51">
        <f>IF(B193&lt;&gt;"",TEXT(B193,"mmm yyyy"),"–")</f>
        <v/>
      </c>
    </row>
    <row r="194" ht="19" customHeight="1">
      <c r="B194" s="56" t="n"/>
      <c r="C194" s="56" t="n"/>
      <c r="D194" s="56" t="n"/>
      <c r="E194" s="57" t="n"/>
      <c r="F194" s="56" t="n"/>
      <c r="G194" s="53">
        <f>IF(B194&lt;&gt;"",TEXT(B194,"mmm yyyy"),"–")</f>
        <v/>
      </c>
    </row>
    <row r="195" ht="19" customHeight="1">
      <c r="B195" s="54" t="n"/>
      <c r="C195" s="54" t="n"/>
      <c r="D195" s="54" t="n"/>
      <c r="E195" s="55" t="n"/>
      <c r="F195" s="54" t="n"/>
      <c r="G195" s="51">
        <f>IF(B195&lt;&gt;"",TEXT(B195,"mmm yyyy"),"–")</f>
        <v/>
      </c>
    </row>
    <row r="196" ht="19" customHeight="1">
      <c r="B196" s="56" t="n"/>
      <c r="C196" s="56" t="n"/>
      <c r="D196" s="56" t="n"/>
      <c r="E196" s="57" t="n"/>
      <c r="F196" s="56" t="n"/>
      <c r="G196" s="53">
        <f>IF(B196&lt;&gt;"",TEXT(B196,"mmm yyyy"),"–")</f>
        <v/>
      </c>
    </row>
    <row r="197" ht="19" customHeight="1">
      <c r="B197" s="54" t="n"/>
      <c r="C197" s="54" t="n"/>
      <c r="D197" s="54" t="n"/>
      <c r="E197" s="55" t="n"/>
      <c r="F197" s="54" t="n"/>
      <c r="G197" s="51">
        <f>IF(B197&lt;&gt;"",TEXT(B197,"mmm yyyy"),"–")</f>
        <v/>
      </c>
    </row>
    <row r="198" ht="19" customHeight="1">
      <c r="B198" s="56" t="n"/>
      <c r="C198" s="56" t="n"/>
      <c r="D198" s="56" t="n"/>
      <c r="E198" s="57" t="n"/>
      <c r="F198" s="56" t="n"/>
      <c r="G198" s="53">
        <f>IF(B198&lt;&gt;"",TEXT(B198,"mmm yyyy"),"–")</f>
        <v/>
      </c>
    </row>
    <row r="199" ht="19" customHeight="1">
      <c r="B199" s="54" t="n"/>
      <c r="C199" s="54" t="n"/>
      <c r="D199" s="54" t="n"/>
      <c r="E199" s="55" t="n"/>
      <c r="F199" s="54" t="n"/>
      <c r="G199" s="51">
        <f>IF(B199&lt;&gt;"",TEXT(B199,"mmm yyyy"),"–")</f>
        <v/>
      </c>
    </row>
    <row r="200" ht="19" customHeight="1">
      <c r="B200" s="56" t="n"/>
      <c r="C200" s="56" t="n"/>
      <c r="D200" s="56" t="n"/>
      <c r="E200" s="57" t="n"/>
      <c r="F200" s="56" t="n"/>
      <c r="G200" s="53">
        <f>IF(B200&lt;&gt;"",TEXT(B200,"mmm yyyy"),"–")</f>
        <v/>
      </c>
    </row>
    <row r="201" ht="19" customHeight="1">
      <c r="B201" s="54" t="n"/>
      <c r="C201" s="54" t="n"/>
      <c r="D201" s="54" t="n"/>
      <c r="E201" s="55" t="n"/>
      <c r="F201" s="54" t="n"/>
      <c r="G201" s="51">
        <f>IF(B201&lt;&gt;"",TEXT(B201,"mmm yyyy"),"–")</f>
        <v/>
      </c>
    </row>
    <row r="202" ht="19" customHeight="1">
      <c r="B202" s="56" t="n"/>
      <c r="C202" s="56" t="n"/>
      <c r="D202" s="56" t="n"/>
      <c r="E202" s="57" t="n"/>
      <c r="F202" s="56" t="n"/>
      <c r="G202" s="53">
        <f>IF(B202&lt;&gt;"",TEXT(B202,"mmm yyyy"),"–")</f>
        <v/>
      </c>
    </row>
    <row r="203" ht="19" customHeight="1">
      <c r="B203" s="54" t="n"/>
      <c r="C203" s="54" t="n"/>
      <c r="D203" s="54" t="n"/>
      <c r="E203" s="55" t="n"/>
      <c r="F203" s="54" t="n"/>
      <c r="G203" s="51">
        <f>IF(B203&lt;&gt;"",TEXT(B203,"mmm yyyy"),"–")</f>
        <v/>
      </c>
    </row>
    <row r="204" ht="19" customHeight="1">
      <c r="B204" s="56" t="n"/>
      <c r="C204" s="56" t="n"/>
      <c r="D204" s="56" t="n"/>
      <c r="E204" s="57" t="n"/>
      <c r="F204" s="56" t="n"/>
      <c r="G204" s="53">
        <f>IF(B204&lt;&gt;"",TEXT(B204,"mmm yyyy"),"–")</f>
        <v/>
      </c>
    </row>
    <row r="205" ht="19" customHeight="1">
      <c r="B205" s="54" t="n"/>
      <c r="C205" s="54" t="n"/>
      <c r="D205" s="54" t="n"/>
      <c r="E205" s="55" t="n"/>
      <c r="F205" s="54" t="n"/>
      <c r="G205" s="51">
        <f>IF(B205&lt;&gt;"",TEXT(B205,"mmm yyyy"),"–")</f>
        <v/>
      </c>
    </row>
    <row r="206" ht="19" customHeight="1">
      <c r="B206" s="56" t="n"/>
      <c r="C206" s="56" t="n"/>
      <c r="D206" s="56" t="n"/>
      <c r="E206" s="57" t="n"/>
      <c r="F206" s="56" t="n"/>
      <c r="G206" s="53">
        <f>IF(B206&lt;&gt;"",TEXT(B206,"mmm yyyy"),"–")</f>
        <v/>
      </c>
    </row>
    <row r="207" ht="19" customHeight="1">
      <c r="B207" s="54" t="n"/>
      <c r="C207" s="54" t="n"/>
      <c r="D207" s="54" t="n"/>
      <c r="E207" s="55" t="n"/>
      <c r="F207" s="54" t="n"/>
      <c r="G207" s="51">
        <f>IF(B207&lt;&gt;"",TEXT(B207,"mmm yyyy"),"–")</f>
        <v/>
      </c>
    </row>
    <row r="208" ht="19" customHeight="1">
      <c r="B208" s="56" t="n"/>
      <c r="C208" s="56" t="n"/>
      <c r="D208" s="56" t="n"/>
      <c r="E208" s="57" t="n"/>
      <c r="F208" s="56" t="n"/>
      <c r="G208" s="53">
        <f>IF(B208&lt;&gt;"",TEXT(B208,"mmm yyyy"),"–")</f>
        <v/>
      </c>
    </row>
    <row r="209" ht="19" customHeight="1">
      <c r="B209" s="54" t="n"/>
      <c r="C209" s="54" t="n"/>
      <c r="D209" s="54" t="n"/>
      <c r="E209" s="55" t="n"/>
      <c r="F209" s="54" t="n"/>
      <c r="G209" s="51">
        <f>IF(B209&lt;&gt;"",TEXT(B209,"mmm yyyy"),"–")</f>
        <v/>
      </c>
    </row>
    <row r="210" ht="19" customHeight="1">
      <c r="B210" s="56" t="n"/>
      <c r="C210" s="56" t="n"/>
      <c r="D210" s="56" t="n"/>
      <c r="E210" s="57" t="n"/>
      <c r="F210" s="56" t="n"/>
      <c r="G210" s="53">
        <f>IF(B210&lt;&gt;"",TEXT(B210,"mmm yyyy"),"–")</f>
        <v/>
      </c>
    </row>
    <row r="211" ht="19" customHeight="1">
      <c r="B211" s="54" t="n"/>
      <c r="C211" s="54" t="n"/>
      <c r="D211" s="54" t="n"/>
      <c r="E211" s="55" t="n"/>
      <c r="F211" s="54" t="n"/>
      <c r="G211" s="51">
        <f>IF(B211&lt;&gt;"",TEXT(B211,"mmm yyyy"),"–")</f>
        <v/>
      </c>
    </row>
    <row r="212" ht="19" customHeight="1">
      <c r="B212" s="56" t="n"/>
      <c r="C212" s="56" t="n"/>
      <c r="D212" s="56" t="n"/>
      <c r="E212" s="57" t="n"/>
      <c r="F212" s="56" t="n"/>
      <c r="G212" s="53">
        <f>IF(B212&lt;&gt;"",TEXT(B212,"mmm yyyy"),"–")</f>
        <v/>
      </c>
    </row>
    <row r="213" ht="19" customHeight="1">
      <c r="B213" s="54" t="n"/>
      <c r="C213" s="54" t="n"/>
      <c r="D213" s="54" t="n"/>
      <c r="E213" s="55" t="n"/>
      <c r="F213" s="54" t="n"/>
      <c r="G213" s="51">
        <f>IF(B213&lt;&gt;"",TEXT(B213,"mmm yyyy"),"–")</f>
        <v/>
      </c>
    </row>
    <row r="214" ht="19" customHeight="1">
      <c r="B214" s="56" t="n"/>
      <c r="C214" s="56" t="n"/>
      <c r="D214" s="56" t="n"/>
      <c r="E214" s="57" t="n"/>
      <c r="F214" s="56" t="n"/>
      <c r="G214" s="53">
        <f>IF(B214&lt;&gt;"",TEXT(B214,"mmm yyyy"),"–")</f>
        <v/>
      </c>
    </row>
    <row r="215" ht="19" customHeight="1">
      <c r="B215" s="54" t="n"/>
      <c r="C215" s="54" t="n"/>
      <c r="D215" s="54" t="n"/>
      <c r="E215" s="55" t="n"/>
      <c r="F215" s="54" t="n"/>
      <c r="G215" s="51">
        <f>IF(B215&lt;&gt;"",TEXT(B215,"mmm yyyy"),"–")</f>
        <v/>
      </c>
    </row>
    <row r="216" ht="19" customHeight="1">
      <c r="B216" s="56" t="n"/>
      <c r="C216" s="56" t="n"/>
      <c r="D216" s="56" t="n"/>
      <c r="E216" s="57" t="n"/>
      <c r="F216" s="56" t="n"/>
      <c r="G216" s="53">
        <f>IF(B216&lt;&gt;"",TEXT(B216,"mmm yyyy"),"–")</f>
        <v/>
      </c>
    </row>
    <row r="217" ht="19" customHeight="1">
      <c r="B217" s="54" t="n"/>
      <c r="C217" s="54" t="n"/>
      <c r="D217" s="54" t="n"/>
      <c r="E217" s="55" t="n"/>
      <c r="F217" s="54" t="n"/>
      <c r="G217" s="51">
        <f>IF(B217&lt;&gt;"",TEXT(B217,"mmm yyyy"),"–")</f>
        <v/>
      </c>
    </row>
    <row r="218" ht="19" customHeight="1">
      <c r="B218" s="56" t="n"/>
      <c r="C218" s="56" t="n"/>
      <c r="D218" s="56" t="n"/>
      <c r="E218" s="57" t="n"/>
      <c r="F218" s="56" t="n"/>
      <c r="G218" s="53">
        <f>IF(B218&lt;&gt;"",TEXT(B218,"mmm yyyy"),"–")</f>
        <v/>
      </c>
    </row>
    <row r="219" ht="19" customHeight="1">
      <c r="B219" s="54" t="n"/>
      <c r="C219" s="54" t="n"/>
      <c r="D219" s="54" t="n"/>
      <c r="E219" s="55" t="n"/>
      <c r="F219" s="54" t="n"/>
      <c r="G219" s="51">
        <f>IF(B219&lt;&gt;"",TEXT(B219,"mmm yyyy"),"–")</f>
        <v/>
      </c>
    </row>
    <row r="220" ht="19" customHeight="1">
      <c r="B220" s="56" t="n"/>
      <c r="C220" s="56" t="n"/>
      <c r="D220" s="56" t="n"/>
      <c r="E220" s="57" t="n"/>
      <c r="F220" s="56" t="n"/>
      <c r="G220" s="53">
        <f>IF(B220&lt;&gt;"",TEXT(B220,"mmm yyyy"),"–")</f>
        <v/>
      </c>
    </row>
    <row r="221" ht="19" customHeight="1">
      <c r="B221" s="54" t="n"/>
      <c r="C221" s="54" t="n"/>
      <c r="D221" s="54" t="n"/>
      <c r="E221" s="55" t="n"/>
      <c r="F221" s="54" t="n"/>
      <c r="G221" s="51">
        <f>IF(B221&lt;&gt;"",TEXT(B221,"mmm yyyy"),"–")</f>
        <v/>
      </c>
    </row>
    <row r="222" ht="19" customHeight="1">
      <c r="B222" s="56" t="n"/>
      <c r="C222" s="56" t="n"/>
      <c r="D222" s="56" t="n"/>
      <c r="E222" s="57" t="n"/>
      <c r="F222" s="56" t="n"/>
      <c r="G222" s="53">
        <f>IF(B222&lt;&gt;"",TEXT(B222,"mmm yyyy"),"–")</f>
        <v/>
      </c>
    </row>
    <row r="223" ht="19" customHeight="1">
      <c r="B223" s="54" t="n"/>
      <c r="C223" s="54" t="n"/>
      <c r="D223" s="54" t="n"/>
      <c r="E223" s="55" t="n"/>
      <c r="F223" s="54" t="n"/>
      <c r="G223" s="51">
        <f>IF(B223&lt;&gt;"",TEXT(B223,"mmm yyyy"),"–")</f>
        <v/>
      </c>
    </row>
    <row r="224" ht="19" customHeight="1">
      <c r="B224" s="56" t="n"/>
      <c r="C224" s="56" t="n"/>
      <c r="D224" s="56" t="n"/>
      <c r="E224" s="57" t="n"/>
      <c r="F224" s="56" t="n"/>
      <c r="G224" s="53">
        <f>IF(B224&lt;&gt;"",TEXT(B224,"mmm yyyy"),"–")</f>
        <v/>
      </c>
    </row>
    <row r="225" ht="19" customHeight="1">
      <c r="B225" s="54" t="n"/>
      <c r="C225" s="54" t="n"/>
      <c r="D225" s="54" t="n"/>
      <c r="E225" s="55" t="n"/>
      <c r="F225" s="54" t="n"/>
      <c r="G225" s="51">
        <f>IF(B225&lt;&gt;"",TEXT(B225,"mmm yyyy"),"–")</f>
        <v/>
      </c>
    </row>
    <row r="226" ht="19" customHeight="1">
      <c r="B226" s="56" t="n"/>
      <c r="C226" s="56" t="n"/>
      <c r="D226" s="56" t="n"/>
      <c r="E226" s="57" t="n"/>
      <c r="F226" s="56" t="n"/>
      <c r="G226" s="53">
        <f>IF(B226&lt;&gt;"",TEXT(B226,"mmm yyyy"),"–")</f>
        <v/>
      </c>
    </row>
    <row r="227" ht="19" customHeight="1">
      <c r="B227" s="54" t="n"/>
      <c r="C227" s="54" t="n"/>
      <c r="D227" s="54" t="n"/>
      <c r="E227" s="55" t="n"/>
      <c r="F227" s="54" t="n"/>
      <c r="G227" s="51">
        <f>IF(B227&lt;&gt;"",TEXT(B227,"mmm yyyy"),"–")</f>
        <v/>
      </c>
    </row>
    <row r="228" ht="19" customHeight="1">
      <c r="B228" s="56" t="n"/>
      <c r="C228" s="56" t="n"/>
      <c r="D228" s="56" t="n"/>
      <c r="E228" s="57" t="n"/>
      <c r="F228" s="56" t="n"/>
      <c r="G228" s="53">
        <f>IF(B228&lt;&gt;"",TEXT(B228,"mmm yyyy"),"–")</f>
        <v/>
      </c>
    </row>
    <row r="229" ht="19" customHeight="1">
      <c r="B229" s="54" t="n"/>
      <c r="C229" s="54" t="n"/>
      <c r="D229" s="54" t="n"/>
      <c r="E229" s="55" t="n"/>
      <c r="F229" s="54" t="n"/>
      <c r="G229" s="51">
        <f>IF(B229&lt;&gt;"",TEXT(B229,"mmm yyyy"),"–")</f>
        <v/>
      </c>
    </row>
    <row r="230" ht="19" customHeight="1">
      <c r="B230" s="56" t="n"/>
      <c r="C230" s="56" t="n"/>
      <c r="D230" s="56" t="n"/>
      <c r="E230" s="57" t="n"/>
      <c r="F230" s="56" t="n"/>
      <c r="G230" s="53">
        <f>IF(B230&lt;&gt;"",TEXT(B230,"mmm yyyy"),"–")</f>
        <v/>
      </c>
    </row>
    <row r="231" ht="19" customHeight="1">
      <c r="B231" s="54" t="n"/>
      <c r="C231" s="54" t="n"/>
      <c r="D231" s="54" t="n"/>
      <c r="E231" s="55" t="n"/>
      <c r="F231" s="54" t="n"/>
      <c r="G231" s="51">
        <f>IF(B231&lt;&gt;"",TEXT(B231,"mmm yyyy"),"–")</f>
        <v/>
      </c>
    </row>
    <row r="232" ht="19" customHeight="1">
      <c r="B232" s="56" t="n"/>
      <c r="C232" s="56" t="n"/>
      <c r="D232" s="56" t="n"/>
      <c r="E232" s="57" t="n"/>
      <c r="F232" s="56" t="n"/>
      <c r="G232" s="53">
        <f>IF(B232&lt;&gt;"",TEXT(B232,"mmm yyyy"),"–")</f>
        <v/>
      </c>
    </row>
    <row r="233" ht="19" customHeight="1">
      <c r="B233" s="54" t="n"/>
      <c r="C233" s="54" t="n"/>
      <c r="D233" s="54" t="n"/>
      <c r="E233" s="55" t="n"/>
      <c r="F233" s="54" t="n"/>
      <c r="G233" s="51">
        <f>IF(B233&lt;&gt;"",TEXT(B233,"mmm yyyy"),"–")</f>
        <v/>
      </c>
    </row>
    <row r="234" ht="19" customHeight="1">
      <c r="B234" s="56" t="n"/>
      <c r="C234" s="56" t="n"/>
      <c r="D234" s="56" t="n"/>
      <c r="E234" s="57" t="n"/>
      <c r="F234" s="56" t="n"/>
      <c r="G234" s="53">
        <f>IF(B234&lt;&gt;"",TEXT(B234,"mmm yyyy"),"–")</f>
        <v/>
      </c>
    </row>
    <row r="235" ht="19" customHeight="1">
      <c r="B235" s="54" t="n"/>
      <c r="C235" s="54" t="n"/>
      <c r="D235" s="54" t="n"/>
      <c r="E235" s="55" t="n"/>
      <c r="F235" s="54" t="n"/>
      <c r="G235" s="51">
        <f>IF(B235&lt;&gt;"",TEXT(B235,"mmm yyyy"),"–")</f>
        <v/>
      </c>
    </row>
    <row r="236" ht="19" customHeight="1">
      <c r="B236" s="56" t="n"/>
      <c r="C236" s="56" t="n"/>
      <c r="D236" s="56" t="n"/>
      <c r="E236" s="57" t="n"/>
      <c r="F236" s="56" t="n"/>
      <c r="G236" s="53">
        <f>IF(B236&lt;&gt;"",TEXT(B236,"mmm yyyy"),"–")</f>
        <v/>
      </c>
    </row>
    <row r="237" ht="19" customHeight="1">
      <c r="B237" s="54" t="n"/>
      <c r="C237" s="54" t="n"/>
      <c r="D237" s="54" t="n"/>
      <c r="E237" s="55" t="n"/>
      <c r="F237" s="54" t="n"/>
      <c r="G237" s="51">
        <f>IF(B237&lt;&gt;"",TEXT(B237,"mmm yyyy"),"–")</f>
        <v/>
      </c>
    </row>
    <row r="238" ht="19" customHeight="1">
      <c r="B238" s="56" t="n"/>
      <c r="C238" s="56" t="n"/>
      <c r="D238" s="56" t="n"/>
      <c r="E238" s="57" t="n"/>
      <c r="F238" s="56" t="n"/>
      <c r="G238" s="53">
        <f>IF(B238&lt;&gt;"",TEXT(B238,"mmm yyyy"),"–")</f>
        <v/>
      </c>
    </row>
    <row r="239" ht="19" customHeight="1">
      <c r="B239" s="54" t="n"/>
      <c r="C239" s="54" t="n"/>
      <c r="D239" s="54" t="n"/>
      <c r="E239" s="55" t="n"/>
      <c r="F239" s="54" t="n"/>
      <c r="G239" s="51">
        <f>IF(B239&lt;&gt;"",TEXT(B239,"mmm yyyy"),"–")</f>
        <v/>
      </c>
    </row>
    <row r="240" ht="19" customHeight="1">
      <c r="B240" s="56" t="n"/>
      <c r="C240" s="56" t="n"/>
      <c r="D240" s="56" t="n"/>
      <c r="E240" s="57" t="n"/>
      <c r="F240" s="56" t="n"/>
      <c r="G240" s="53">
        <f>IF(B240&lt;&gt;"",TEXT(B240,"mmm yyyy"),"–")</f>
        <v/>
      </c>
    </row>
    <row r="241" ht="19" customHeight="1">
      <c r="B241" s="54" t="n"/>
      <c r="C241" s="54" t="n"/>
      <c r="D241" s="54" t="n"/>
      <c r="E241" s="55" t="n"/>
      <c r="F241" s="54" t="n"/>
      <c r="G241" s="51">
        <f>IF(B241&lt;&gt;"",TEXT(B241,"mmm yyyy"),"–")</f>
        <v/>
      </c>
    </row>
    <row r="242" ht="19" customHeight="1">
      <c r="B242" s="56" t="n"/>
      <c r="C242" s="56" t="n"/>
      <c r="D242" s="56" t="n"/>
      <c r="E242" s="57" t="n"/>
      <c r="F242" s="56" t="n"/>
      <c r="G242" s="53">
        <f>IF(B242&lt;&gt;"",TEXT(B242,"mmm yyyy"),"–")</f>
        <v/>
      </c>
    </row>
    <row r="243" ht="19" customHeight="1">
      <c r="B243" s="54" t="n"/>
      <c r="C243" s="54" t="n"/>
      <c r="D243" s="54" t="n"/>
      <c r="E243" s="55" t="n"/>
      <c r="F243" s="54" t="n"/>
      <c r="G243" s="51">
        <f>IF(B243&lt;&gt;"",TEXT(B243,"mmm yyyy"),"–")</f>
        <v/>
      </c>
    </row>
    <row r="244" ht="19" customHeight="1">
      <c r="B244" s="56" t="n"/>
      <c r="C244" s="56" t="n"/>
      <c r="D244" s="56" t="n"/>
      <c r="E244" s="57" t="n"/>
      <c r="F244" s="56" t="n"/>
      <c r="G244" s="53">
        <f>IF(B244&lt;&gt;"",TEXT(B244,"mmm yyyy"),"–")</f>
        <v/>
      </c>
    </row>
    <row r="245" ht="19" customHeight="1">
      <c r="B245" s="54" t="n"/>
      <c r="C245" s="54" t="n"/>
      <c r="D245" s="54" t="n"/>
      <c r="E245" s="55" t="n"/>
      <c r="F245" s="54" t="n"/>
      <c r="G245" s="51">
        <f>IF(B245&lt;&gt;"",TEXT(B245,"mmm yyyy"),"–")</f>
        <v/>
      </c>
    </row>
    <row r="246" ht="19" customHeight="1">
      <c r="B246" s="56" t="n"/>
      <c r="C246" s="56" t="n"/>
      <c r="D246" s="56" t="n"/>
      <c r="E246" s="57" t="n"/>
      <c r="F246" s="56" t="n"/>
      <c r="G246" s="53">
        <f>IF(B246&lt;&gt;"",TEXT(B246,"mmm yyyy"),"–")</f>
        <v/>
      </c>
    </row>
    <row r="247" ht="19" customHeight="1">
      <c r="B247" s="54" t="n"/>
      <c r="C247" s="54" t="n"/>
      <c r="D247" s="54" t="n"/>
      <c r="E247" s="55" t="n"/>
      <c r="F247" s="54" t="n"/>
      <c r="G247" s="51">
        <f>IF(B247&lt;&gt;"",TEXT(B247,"mmm yyyy"),"–")</f>
        <v/>
      </c>
    </row>
    <row r="248" ht="19" customHeight="1">
      <c r="B248" s="56" t="n"/>
      <c r="C248" s="56" t="n"/>
      <c r="D248" s="56" t="n"/>
      <c r="E248" s="57" t="n"/>
      <c r="F248" s="56" t="n"/>
      <c r="G248" s="53">
        <f>IF(B248&lt;&gt;"",TEXT(B248,"mmm yyyy"),"–")</f>
        <v/>
      </c>
    </row>
    <row r="249" ht="19" customHeight="1">
      <c r="B249" s="54" t="n"/>
      <c r="C249" s="54" t="n"/>
      <c r="D249" s="54" t="n"/>
      <c r="E249" s="55" t="n"/>
      <c r="F249" s="54" t="n"/>
      <c r="G249" s="51">
        <f>IF(B249&lt;&gt;"",TEXT(B249,"mmm yyyy"),"–")</f>
        <v/>
      </c>
    </row>
    <row r="250" ht="19" customHeight="1">
      <c r="B250" s="56" t="n"/>
      <c r="C250" s="56" t="n"/>
      <c r="D250" s="56" t="n"/>
      <c r="E250" s="57" t="n"/>
      <c r="F250" s="56" t="n"/>
      <c r="G250" s="53">
        <f>IF(B250&lt;&gt;"",TEXT(B250,"mmm yyyy"),"–")</f>
        <v/>
      </c>
    </row>
    <row r="251" ht="19" customHeight="1">
      <c r="B251" s="54" t="n"/>
      <c r="C251" s="54" t="n"/>
      <c r="D251" s="54" t="n"/>
      <c r="E251" s="55" t="n"/>
      <c r="F251" s="54" t="n"/>
      <c r="G251" s="51">
        <f>IF(B251&lt;&gt;"",TEXT(B251,"mmm yyyy"),"–")</f>
        <v/>
      </c>
    </row>
    <row r="252" ht="19" customHeight="1">
      <c r="B252" s="56" t="n"/>
      <c r="C252" s="56" t="n"/>
      <c r="D252" s="56" t="n"/>
      <c r="E252" s="57" t="n"/>
      <c r="F252" s="56" t="n"/>
      <c r="G252" s="53">
        <f>IF(B252&lt;&gt;"",TEXT(B252,"mmm yyyy"),"–")</f>
        <v/>
      </c>
    </row>
    <row r="253" ht="19" customHeight="1">
      <c r="B253" s="54" t="n"/>
      <c r="C253" s="54" t="n"/>
      <c r="D253" s="54" t="n"/>
      <c r="E253" s="55" t="n"/>
      <c r="F253" s="54" t="n"/>
      <c r="G253" s="51">
        <f>IF(B253&lt;&gt;"",TEXT(B253,"mmm yyyy"),"–")</f>
        <v/>
      </c>
    </row>
    <row r="254" ht="19" customHeight="1">
      <c r="B254" s="56" t="n"/>
      <c r="C254" s="56" t="n"/>
      <c r="D254" s="56" t="n"/>
      <c r="E254" s="57" t="n"/>
      <c r="F254" s="56" t="n"/>
      <c r="G254" s="53">
        <f>IF(B254&lt;&gt;"",TEXT(B254,"mmm yyyy"),"–")</f>
        <v/>
      </c>
    </row>
    <row r="255" ht="19" customHeight="1">
      <c r="B255" s="54" t="n"/>
      <c r="C255" s="54" t="n"/>
      <c r="D255" s="54" t="n"/>
      <c r="E255" s="55" t="n"/>
      <c r="F255" s="54" t="n"/>
      <c r="G255" s="51">
        <f>IF(B255&lt;&gt;"",TEXT(B255,"mmm yyyy"),"–")</f>
        <v/>
      </c>
    </row>
    <row r="256" ht="19" customHeight="1">
      <c r="B256" s="56" t="n"/>
      <c r="C256" s="56" t="n"/>
      <c r="D256" s="56" t="n"/>
      <c r="E256" s="57" t="n"/>
      <c r="F256" s="56" t="n"/>
      <c r="G256" s="53">
        <f>IF(B256&lt;&gt;"",TEXT(B256,"mmm yyyy"),"–")</f>
        <v/>
      </c>
    </row>
    <row r="257" ht="19" customHeight="1">
      <c r="B257" s="54" t="n"/>
      <c r="C257" s="54" t="n"/>
      <c r="D257" s="54" t="n"/>
      <c r="E257" s="55" t="n"/>
      <c r="F257" s="54" t="n"/>
      <c r="G257" s="51">
        <f>IF(B257&lt;&gt;"",TEXT(B257,"mmm yyyy"),"–")</f>
        <v/>
      </c>
    </row>
    <row r="258" ht="19" customHeight="1">
      <c r="B258" s="56" t="n"/>
      <c r="C258" s="56" t="n"/>
      <c r="D258" s="56" t="n"/>
      <c r="E258" s="57" t="n"/>
      <c r="F258" s="56" t="n"/>
      <c r="G258" s="53">
        <f>IF(B258&lt;&gt;"",TEXT(B258,"mmm yyyy"),"–")</f>
        <v/>
      </c>
    </row>
    <row r="259" ht="19" customHeight="1">
      <c r="B259" s="54" t="n"/>
      <c r="C259" s="54" t="n"/>
      <c r="D259" s="54" t="n"/>
      <c r="E259" s="55" t="n"/>
      <c r="F259" s="54" t="n"/>
      <c r="G259" s="51">
        <f>IF(B259&lt;&gt;"",TEXT(B259,"mmm yyyy"),"–")</f>
        <v/>
      </c>
    </row>
    <row r="260" ht="19" customHeight="1">
      <c r="B260" s="56" t="n"/>
      <c r="C260" s="56" t="n"/>
      <c r="D260" s="56" t="n"/>
      <c r="E260" s="57" t="n"/>
      <c r="F260" s="56" t="n"/>
      <c r="G260" s="53">
        <f>IF(B260&lt;&gt;"",TEXT(B260,"mmm yyyy"),"–")</f>
        <v/>
      </c>
    </row>
    <row r="261" ht="19" customHeight="1">
      <c r="B261" s="54" t="n"/>
      <c r="C261" s="54" t="n"/>
      <c r="D261" s="54" t="n"/>
      <c r="E261" s="55" t="n"/>
      <c r="F261" s="54" t="n"/>
      <c r="G261" s="51">
        <f>IF(B261&lt;&gt;"",TEXT(B261,"mmm yyyy"),"–")</f>
        <v/>
      </c>
    </row>
    <row r="262" ht="19" customHeight="1">
      <c r="B262" s="56" t="n"/>
      <c r="C262" s="56" t="n"/>
      <c r="D262" s="56" t="n"/>
      <c r="E262" s="57" t="n"/>
      <c r="F262" s="56" t="n"/>
      <c r="G262" s="53">
        <f>IF(B262&lt;&gt;"",TEXT(B262,"mmm yyyy"),"–")</f>
        <v/>
      </c>
    </row>
    <row r="263" ht="19" customHeight="1">
      <c r="B263" s="54" t="n"/>
      <c r="C263" s="54" t="n"/>
      <c r="D263" s="54" t="n"/>
      <c r="E263" s="55" t="n"/>
      <c r="F263" s="54" t="n"/>
      <c r="G263" s="51">
        <f>IF(B263&lt;&gt;"",TEXT(B263,"mmm yyyy"),"–")</f>
        <v/>
      </c>
    </row>
    <row r="264" ht="19" customHeight="1">
      <c r="B264" s="56" t="n"/>
      <c r="C264" s="56" t="n"/>
      <c r="D264" s="56" t="n"/>
      <c r="E264" s="57" t="n"/>
      <c r="F264" s="56" t="n"/>
      <c r="G264" s="53">
        <f>IF(B264&lt;&gt;"",TEXT(B264,"mmm yyyy"),"–")</f>
        <v/>
      </c>
    </row>
    <row r="265" ht="19" customHeight="1">
      <c r="B265" s="54" t="n"/>
      <c r="C265" s="54" t="n"/>
      <c r="D265" s="54" t="n"/>
      <c r="E265" s="55" t="n"/>
      <c r="F265" s="54" t="n"/>
      <c r="G265" s="51">
        <f>IF(B265&lt;&gt;"",TEXT(B265,"mmm yyyy"),"–")</f>
        <v/>
      </c>
    </row>
    <row r="266" ht="19" customHeight="1">
      <c r="B266" s="56" t="n"/>
      <c r="C266" s="56" t="n"/>
      <c r="D266" s="56" t="n"/>
      <c r="E266" s="57" t="n"/>
      <c r="F266" s="56" t="n"/>
      <c r="G266" s="53">
        <f>IF(B266&lt;&gt;"",TEXT(B266,"mmm yyyy"),"–")</f>
        <v/>
      </c>
    </row>
    <row r="267" ht="19" customHeight="1">
      <c r="B267" s="54" t="n"/>
      <c r="C267" s="54" t="n"/>
      <c r="D267" s="54" t="n"/>
      <c r="E267" s="55" t="n"/>
      <c r="F267" s="54" t="n"/>
      <c r="G267" s="51">
        <f>IF(B267&lt;&gt;"",TEXT(B267,"mmm yyyy"),"–")</f>
        <v/>
      </c>
    </row>
    <row r="268" ht="19" customHeight="1">
      <c r="B268" s="56" t="n"/>
      <c r="C268" s="56" t="n"/>
      <c r="D268" s="56" t="n"/>
      <c r="E268" s="57" t="n"/>
      <c r="F268" s="56" t="n"/>
      <c r="G268" s="53">
        <f>IF(B268&lt;&gt;"",TEXT(B268,"mmm yyyy"),"–")</f>
        <v/>
      </c>
    </row>
    <row r="269" ht="19" customHeight="1">
      <c r="B269" s="54" t="n"/>
      <c r="C269" s="54" t="n"/>
      <c r="D269" s="54" t="n"/>
      <c r="E269" s="55" t="n"/>
      <c r="F269" s="54" t="n"/>
      <c r="G269" s="51">
        <f>IF(B269&lt;&gt;"",TEXT(B269,"mmm yyyy"),"–")</f>
        <v/>
      </c>
    </row>
    <row r="270" ht="19" customHeight="1">
      <c r="B270" s="56" t="n"/>
      <c r="C270" s="56" t="n"/>
      <c r="D270" s="56" t="n"/>
      <c r="E270" s="57" t="n"/>
      <c r="F270" s="56" t="n"/>
      <c r="G270" s="53">
        <f>IF(B270&lt;&gt;"",TEXT(B270,"mmm yyyy"),"–")</f>
        <v/>
      </c>
    </row>
    <row r="271" ht="19" customHeight="1">
      <c r="B271" s="54" t="n"/>
      <c r="C271" s="54" t="n"/>
      <c r="D271" s="54" t="n"/>
      <c r="E271" s="55" t="n"/>
      <c r="F271" s="54" t="n"/>
      <c r="G271" s="51">
        <f>IF(B271&lt;&gt;"",TEXT(B271,"mmm yyyy"),"–")</f>
        <v/>
      </c>
    </row>
    <row r="272" ht="19" customHeight="1">
      <c r="B272" s="56" t="n"/>
      <c r="C272" s="56" t="n"/>
      <c r="D272" s="56" t="n"/>
      <c r="E272" s="57" t="n"/>
      <c r="F272" s="56" t="n"/>
      <c r="G272" s="53">
        <f>IF(B272&lt;&gt;"",TEXT(B272,"mmm yyyy"),"–")</f>
        <v/>
      </c>
    </row>
    <row r="273" ht="19" customHeight="1">
      <c r="B273" s="54" t="n"/>
      <c r="C273" s="54" t="n"/>
      <c r="D273" s="54" t="n"/>
      <c r="E273" s="55" t="n"/>
      <c r="F273" s="54" t="n"/>
      <c r="G273" s="51">
        <f>IF(B273&lt;&gt;"",TEXT(B273,"mmm yyyy"),"–")</f>
        <v/>
      </c>
    </row>
    <row r="274" ht="19" customHeight="1">
      <c r="B274" s="56" t="n"/>
      <c r="C274" s="56" t="n"/>
      <c r="D274" s="56" t="n"/>
      <c r="E274" s="57" t="n"/>
      <c r="F274" s="56" t="n"/>
      <c r="G274" s="53">
        <f>IF(B274&lt;&gt;"",TEXT(B274,"mmm yyyy"),"–")</f>
        <v/>
      </c>
    </row>
    <row r="275" ht="19" customHeight="1">
      <c r="B275" s="54" t="n"/>
      <c r="C275" s="54" t="n"/>
      <c r="D275" s="54" t="n"/>
      <c r="E275" s="55" t="n"/>
      <c r="F275" s="54" t="n"/>
      <c r="G275" s="51">
        <f>IF(B275&lt;&gt;"",TEXT(B275,"mmm yyyy"),"–")</f>
        <v/>
      </c>
    </row>
    <row r="276" ht="19" customHeight="1">
      <c r="B276" s="56" t="n"/>
      <c r="C276" s="56" t="n"/>
      <c r="D276" s="56" t="n"/>
      <c r="E276" s="57" t="n"/>
      <c r="F276" s="56" t="n"/>
      <c r="G276" s="53">
        <f>IF(B276&lt;&gt;"",TEXT(B276,"mmm yyyy"),"–")</f>
        <v/>
      </c>
    </row>
    <row r="277" ht="19" customHeight="1">
      <c r="B277" s="54" t="n"/>
      <c r="C277" s="54" t="n"/>
      <c r="D277" s="54" t="n"/>
      <c r="E277" s="55" t="n"/>
      <c r="F277" s="54" t="n"/>
      <c r="G277" s="51">
        <f>IF(B277&lt;&gt;"",TEXT(B277,"mmm yyyy"),"–")</f>
        <v/>
      </c>
    </row>
    <row r="278" ht="19" customHeight="1">
      <c r="B278" s="56" t="n"/>
      <c r="C278" s="56" t="n"/>
      <c r="D278" s="56" t="n"/>
      <c r="E278" s="57" t="n"/>
      <c r="F278" s="56" t="n"/>
      <c r="G278" s="53">
        <f>IF(B278&lt;&gt;"",TEXT(B278,"mmm yyyy"),"–")</f>
        <v/>
      </c>
    </row>
    <row r="279" ht="19" customHeight="1">
      <c r="B279" s="54" t="n"/>
      <c r="C279" s="54" t="n"/>
      <c r="D279" s="54" t="n"/>
      <c r="E279" s="55" t="n"/>
      <c r="F279" s="54" t="n"/>
      <c r="G279" s="51">
        <f>IF(B279&lt;&gt;"",TEXT(B279,"mmm yyyy"),"–")</f>
        <v/>
      </c>
    </row>
    <row r="280" ht="19" customHeight="1">
      <c r="B280" s="56" t="n"/>
      <c r="C280" s="56" t="n"/>
      <c r="D280" s="56" t="n"/>
      <c r="E280" s="57" t="n"/>
      <c r="F280" s="56" t="n"/>
      <c r="G280" s="53">
        <f>IF(B280&lt;&gt;"",TEXT(B280,"mmm yyyy"),"–")</f>
        <v/>
      </c>
    </row>
    <row r="281" ht="19" customHeight="1">
      <c r="B281" s="54" t="n"/>
      <c r="C281" s="54" t="n"/>
      <c r="D281" s="54" t="n"/>
      <c r="E281" s="55" t="n"/>
      <c r="F281" s="54" t="n"/>
      <c r="G281" s="51">
        <f>IF(B281&lt;&gt;"",TEXT(B281,"mmm yyyy"),"–")</f>
        <v/>
      </c>
    </row>
    <row r="282" ht="19" customHeight="1">
      <c r="B282" s="56" t="n"/>
      <c r="C282" s="56" t="n"/>
      <c r="D282" s="56" t="n"/>
      <c r="E282" s="57" t="n"/>
      <c r="F282" s="56" t="n"/>
      <c r="G282" s="53">
        <f>IF(B282&lt;&gt;"",TEXT(B282,"mmm yyyy"),"–")</f>
        <v/>
      </c>
    </row>
    <row r="283" ht="19" customHeight="1">
      <c r="B283" s="54" t="n"/>
      <c r="C283" s="54" t="n"/>
      <c r="D283" s="54" t="n"/>
      <c r="E283" s="55" t="n"/>
      <c r="F283" s="54" t="n"/>
      <c r="G283" s="51">
        <f>IF(B283&lt;&gt;"",TEXT(B283,"mmm yyyy"),"–")</f>
        <v/>
      </c>
    </row>
    <row r="284" ht="19" customHeight="1">
      <c r="B284" s="56" t="n"/>
      <c r="C284" s="56" t="n"/>
      <c r="D284" s="56" t="n"/>
      <c r="E284" s="57" t="n"/>
      <c r="F284" s="56" t="n"/>
      <c r="G284" s="53">
        <f>IF(B284&lt;&gt;"",TEXT(B284,"mmm yyyy"),"–")</f>
        <v/>
      </c>
    </row>
    <row r="285" ht="19" customHeight="1">
      <c r="B285" s="54" t="n"/>
      <c r="C285" s="54" t="n"/>
      <c r="D285" s="54" t="n"/>
      <c r="E285" s="55" t="n"/>
      <c r="F285" s="54" t="n"/>
      <c r="G285" s="51">
        <f>IF(B285&lt;&gt;"",TEXT(B285,"mmm yyyy"),"–")</f>
        <v/>
      </c>
    </row>
    <row r="286" ht="19" customHeight="1">
      <c r="B286" s="56" t="n"/>
      <c r="C286" s="56" t="n"/>
      <c r="D286" s="56" t="n"/>
      <c r="E286" s="57" t="n"/>
      <c r="F286" s="56" t="n"/>
      <c r="G286" s="53">
        <f>IF(B286&lt;&gt;"",TEXT(B286,"mmm yyyy"),"–")</f>
        <v/>
      </c>
    </row>
    <row r="287" ht="19" customHeight="1">
      <c r="B287" s="54" t="n"/>
      <c r="C287" s="54" t="n"/>
      <c r="D287" s="54" t="n"/>
      <c r="E287" s="55" t="n"/>
      <c r="F287" s="54" t="n"/>
      <c r="G287" s="51">
        <f>IF(B287&lt;&gt;"",TEXT(B287,"mmm yyyy"),"–")</f>
        <v/>
      </c>
    </row>
    <row r="288" ht="19" customHeight="1">
      <c r="B288" s="56" t="n"/>
      <c r="C288" s="56" t="n"/>
      <c r="D288" s="56" t="n"/>
      <c r="E288" s="57" t="n"/>
      <c r="F288" s="56" t="n"/>
      <c r="G288" s="53">
        <f>IF(B288&lt;&gt;"",TEXT(B288,"mmm yyyy"),"–")</f>
        <v/>
      </c>
    </row>
    <row r="289" ht="19" customHeight="1">
      <c r="B289" s="54" t="n"/>
      <c r="C289" s="54" t="n"/>
      <c r="D289" s="54" t="n"/>
      <c r="E289" s="55" t="n"/>
      <c r="F289" s="54" t="n"/>
      <c r="G289" s="51">
        <f>IF(B289&lt;&gt;"",TEXT(B289,"mmm yyyy"),"–")</f>
        <v/>
      </c>
    </row>
    <row r="290" ht="19" customHeight="1">
      <c r="B290" s="56" t="n"/>
      <c r="C290" s="56" t="n"/>
      <c r="D290" s="56" t="n"/>
      <c r="E290" s="57" t="n"/>
      <c r="F290" s="56" t="n"/>
      <c r="G290" s="53">
        <f>IF(B290&lt;&gt;"",TEXT(B290,"mmm yyyy"),"–")</f>
        <v/>
      </c>
    </row>
    <row r="291" ht="19" customHeight="1">
      <c r="B291" s="54" t="n"/>
      <c r="C291" s="54" t="n"/>
      <c r="D291" s="54" t="n"/>
      <c r="E291" s="55" t="n"/>
      <c r="F291" s="54" t="n"/>
      <c r="G291" s="51">
        <f>IF(B291&lt;&gt;"",TEXT(B291,"mmm yyyy"),"–")</f>
        <v/>
      </c>
    </row>
    <row r="292" ht="19" customHeight="1">
      <c r="B292" s="56" t="n"/>
      <c r="C292" s="56" t="n"/>
      <c r="D292" s="56" t="n"/>
      <c r="E292" s="57" t="n"/>
      <c r="F292" s="56" t="n"/>
      <c r="G292" s="53">
        <f>IF(B292&lt;&gt;"",TEXT(B292,"mmm yyyy"),"–")</f>
        <v/>
      </c>
    </row>
    <row r="293" ht="19" customHeight="1">
      <c r="B293" s="54" t="n"/>
      <c r="C293" s="54" t="n"/>
      <c r="D293" s="54" t="n"/>
      <c r="E293" s="55" t="n"/>
      <c r="F293" s="54" t="n"/>
      <c r="G293" s="51">
        <f>IF(B293&lt;&gt;"",TEXT(B293,"mmm yyyy"),"–")</f>
        <v/>
      </c>
    </row>
    <row r="294" ht="19" customHeight="1">
      <c r="B294" s="56" t="n"/>
      <c r="C294" s="56" t="n"/>
      <c r="D294" s="56" t="n"/>
      <c r="E294" s="57" t="n"/>
      <c r="F294" s="56" t="n"/>
      <c r="G294" s="53">
        <f>IF(B294&lt;&gt;"",TEXT(B294,"mmm yyyy"),"–")</f>
        <v/>
      </c>
    </row>
    <row r="295" ht="19" customHeight="1">
      <c r="B295" s="54" t="n"/>
      <c r="C295" s="54" t="n"/>
      <c r="D295" s="54" t="n"/>
      <c r="E295" s="55" t="n"/>
      <c r="F295" s="54" t="n"/>
      <c r="G295" s="51">
        <f>IF(B295&lt;&gt;"",TEXT(B295,"mmm yyyy"),"–")</f>
        <v/>
      </c>
    </row>
    <row r="296" ht="19" customHeight="1">
      <c r="B296" s="56" t="n"/>
      <c r="C296" s="56" t="n"/>
      <c r="D296" s="56" t="n"/>
      <c r="E296" s="57" t="n"/>
      <c r="F296" s="56" t="n"/>
      <c r="G296" s="53">
        <f>IF(B296&lt;&gt;"",TEXT(B296,"mmm yyyy"),"–")</f>
        <v/>
      </c>
    </row>
    <row r="297" ht="19" customHeight="1">
      <c r="B297" s="54" t="n"/>
      <c r="C297" s="54" t="n"/>
      <c r="D297" s="54" t="n"/>
      <c r="E297" s="55" t="n"/>
      <c r="F297" s="54" t="n"/>
      <c r="G297" s="51">
        <f>IF(B297&lt;&gt;"",TEXT(B297,"mmm yyyy"),"–")</f>
        <v/>
      </c>
    </row>
    <row r="298" ht="19" customHeight="1">
      <c r="B298" s="56" t="n"/>
      <c r="C298" s="56" t="n"/>
      <c r="D298" s="56" t="n"/>
      <c r="E298" s="57" t="n"/>
      <c r="F298" s="56" t="n"/>
      <c r="G298" s="53">
        <f>IF(B298&lt;&gt;"",TEXT(B298,"mmm yyyy"),"–")</f>
        <v/>
      </c>
    </row>
    <row r="299" ht="19" customHeight="1">
      <c r="B299" s="54" t="n"/>
      <c r="C299" s="54" t="n"/>
      <c r="D299" s="54" t="n"/>
      <c r="E299" s="55" t="n"/>
      <c r="F299" s="54" t="n"/>
      <c r="G299" s="51">
        <f>IF(B299&lt;&gt;"",TEXT(B299,"mmm yyyy"),"–")</f>
        <v/>
      </c>
    </row>
    <row r="300" ht="19" customHeight="1">
      <c r="B300" s="56" t="n"/>
      <c r="C300" s="56" t="n"/>
      <c r="D300" s="56" t="n"/>
      <c r="E300" s="57" t="n"/>
      <c r="F300" s="56" t="n"/>
      <c r="G300" s="53">
        <f>IF(B300&lt;&gt;"",TEXT(B300,"mmm yyyy"),"–")</f>
        <v/>
      </c>
    </row>
    <row r="301" ht="19" customHeight="1">
      <c r="B301" s="54" t="n"/>
      <c r="C301" s="54" t="n"/>
      <c r="D301" s="54" t="n"/>
      <c r="E301" s="55" t="n"/>
      <c r="F301" s="54" t="n"/>
      <c r="G301" s="51">
        <f>IF(B301&lt;&gt;"",TEXT(B301,"mmm yyyy"),"–")</f>
        <v/>
      </c>
    </row>
    <row r="302" ht="19" customHeight="1">
      <c r="B302" s="56" t="n"/>
      <c r="C302" s="56" t="n"/>
      <c r="D302" s="56" t="n"/>
      <c r="E302" s="57" t="n"/>
      <c r="F302" s="56" t="n"/>
      <c r="G302" s="53">
        <f>IF(B302&lt;&gt;"",TEXT(B302,"mmm yyyy"),"–")</f>
        <v/>
      </c>
    </row>
    <row r="303" ht="19" customHeight="1">
      <c r="B303" s="54" t="n"/>
      <c r="C303" s="54" t="n"/>
      <c r="D303" s="54" t="n"/>
      <c r="E303" s="55" t="n"/>
      <c r="F303" s="54" t="n"/>
      <c r="G303" s="51">
        <f>IF(B303&lt;&gt;"",TEXT(B303,"mmm yyyy"),"–")</f>
        <v/>
      </c>
    </row>
    <row r="304" ht="19" customHeight="1">
      <c r="B304" s="56" t="n"/>
      <c r="C304" s="56" t="n"/>
      <c r="D304" s="56" t="n"/>
      <c r="E304" s="57" t="n"/>
      <c r="F304" s="56" t="n"/>
      <c r="G304" s="53">
        <f>IF(B304&lt;&gt;"",TEXT(B304,"mmm yyyy"),"–")</f>
        <v/>
      </c>
    </row>
    <row r="305" ht="19" customHeight="1">
      <c r="B305" s="54" t="n"/>
      <c r="C305" s="54" t="n"/>
      <c r="D305" s="54" t="n"/>
      <c r="E305" s="55" t="n"/>
      <c r="F305" s="54" t="n"/>
      <c r="G305" s="51">
        <f>IF(B305&lt;&gt;"",TEXT(B305,"mmm yyyy"),"–")</f>
        <v/>
      </c>
    </row>
    <row r="306" ht="19" customHeight="1">
      <c r="B306" s="56" t="n"/>
      <c r="C306" s="56" t="n"/>
      <c r="D306" s="56" t="n"/>
      <c r="E306" s="57" t="n"/>
      <c r="F306" s="56" t="n"/>
      <c r="G306" s="53">
        <f>IF(B306&lt;&gt;"",TEXT(B306,"mmm yyyy"),"–")</f>
        <v/>
      </c>
    </row>
    <row r="307" ht="19" customHeight="1">
      <c r="B307" s="54" t="n"/>
      <c r="C307" s="54" t="n"/>
      <c r="D307" s="54" t="n"/>
      <c r="E307" s="55" t="n"/>
      <c r="F307" s="54" t="n"/>
      <c r="G307" s="51">
        <f>IF(B307&lt;&gt;"",TEXT(B307,"mmm yyyy"),"–")</f>
        <v/>
      </c>
    </row>
    <row r="308" ht="19" customHeight="1">
      <c r="B308" s="56" t="n"/>
      <c r="C308" s="56" t="n"/>
      <c r="D308" s="56" t="n"/>
      <c r="E308" s="57" t="n"/>
      <c r="F308" s="56" t="n"/>
      <c r="G308" s="53">
        <f>IF(B308&lt;&gt;"",TEXT(B308,"mmm yyyy"),"–")</f>
        <v/>
      </c>
    </row>
    <row r="309" ht="19" customHeight="1">
      <c r="B309" s="54" t="n"/>
      <c r="C309" s="54" t="n"/>
      <c r="D309" s="54" t="n"/>
      <c r="E309" s="55" t="n"/>
      <c r="F309" s="54" t="n"/>
      <c r="G309" s="51">
        <f>IF(B309&lt;&gt;"",TEXT(B309,"mmm yyyy"),"–")</f>
        <v/>
      </c>
    </row>
    <row r="310" ht="19" customHeight="1">
      <c r="B310" s="56" t="n"/>
      <c r="C310" s="56" t="n"/>
      <c r="D310" s="56" t="n"/>
      <c r="E310" s="57" t="n"/>
      <c r="F310" s="56" t="n"/>
      <c r="G310" s="53">
        <f>IF(B310&lt;&gt;"",TEXT(B310,"mmm yyyy"),"–")</f>
        <v/>
      </c>
    </row>
    <row r="311" ht="19" customHeight="1">
      <c r="B311" s="54" t="n"/>
      <c r="C311" s="54" t="n"/>
      <c r="D311" s="54" t="n"/>
      <c r="E311" s="55" t="n"/>
      <c r="F311" s="54" t="n"/>
      <c r="G311" s="51">
        <f>IF(B311&lt;&gt;"",TEXT(B311,"mmm yyyy"),"–")</f>
        <v/>
      </c>
    </row>
    <row r="312" ht="19" customHeight="1">
      <c r="B312" s="56" t="n"/>
      <c r="C312" s="56" t="n"/>
      <c r="D312" s="56" t="n"/>
      <c r="E312" s="57" t="n"/>
      <c r="F312" s="56" t="n"/>
      <c r="G312" s="53">
        <f>IF(B312&lt;&gt;"",TEXT(B312,"mmm yyyy"),"–")</f>
        <v/>
      </c>
    </row>
    <row r="313" ht="19" customHeight="1">
      <c r="B313" s="54" t="n"/>
      <c r="C313" s="54" t="n"/>
      <c r="D313" s="54" t="n"/>
      <c r="E313" s="55" t="n"/>
      <c r="F313" s="54" t="n"/>
      <c r="G313" s="51">
        <f>IF(B313&lt;&gt;"",TEXT(B313,"mmm yyyy"),"–")</f>
        <v/>
      </c>
    </row>
    <row r="314" ht="19" customHeight="1">
      <c r="B314" s="56" t="n"/>
      <c r="C314" s="56" t="n"/>
      <c r="D314" s="56" t="n"/>
      <c r="E314" s="57" t="n"/>
      <c r="F314" s="56" t="n"/>
      <c r="G314" s="53">
        <f>IF(B314&lt;&gt;"",TEXT(B314,"mmm yyyy"),"–")</f>
        <v/>
      </c>
    </row>
    <row r="315" ht="19" customHeight="1">
      <c r="B315" s="54" t="n"/>
      <c r="C315" s="54" t="n"/>
      <c r="D315" s="54" t="n"/>
      <c r="E315" s="55" t="n"/>
      <c r="F315" s="54" t="n"/>
      <c r="G315" s="51">
        <f>IF(B315&lt;&gt;"",TEXT(B315,"mmm yyyy"),"–")</f>
        <v/>
      </c>
    </row>
    <row r="316" ht="19" customHeight="1">
      <c r="B316" s="56" t="n"/>
      <c r="C316" s="56" t="n"/>
      <c r="D316" s="56" t="n"/>
      <c r="E316" s="57" t="n"/>
      <c r="F316" s="56" t="n"/>
      <c r="G316" s="53">
        <f>IF(B316&lt;&gt;"",TEXT(B316,"mmm yyyy"),"–")</f>
        <v/>
      </c>
    </row>
    <row r="317" ht="19" customHeight="1">
      <c r="B317" s="54" t="n"/>
      <c r="C317" s="54" t="n"/>
      <c r="D317" s="54" t="n"/>
      <c r="E317" s="55" t="n"/>
      <c r="F317" s="54" t="n"/>
      <c r="G317" s="51">
        <f>IF(B317&lt;&gt;"",TEXT(B317,"mmm yyyy"),"–")</f>
        <v/>
      </c>
    </row>
    <row r="318" ht="19" customHeight="1">
      <c r="B318" s="56" t="n"/>
      <c r="C318" s="56" t="n"/>
      <c r="D318" s="56" t="n"/>
      <c r="E318" s="57" t="n"/>
      <c r="F318" s="56" t="n"/>
      <c r="G318" s="53">
        <f>IF(B318&lt;&gt;"",TEXT(B318,"mmm yyyy"),"–")</f>
        <v/>
      </c>
    </row>
    <row r="319" ht="19" customHeight="1">
      <c r="B319" s="54" t="n"/>
      <c r="C319" s="54" t="n"/>
      <c r="D319" s="54" t="n"/>
      <c r="E319" s="55" t="n"/>
      <c r="F319" s="54" t="n"/>
      <c r="G319" s="51">
        <f>IF(B319&lt;&gt;"",TEXT(B319,"mmm yyyy"),"–")</f>
        <v/>
      </c>
    </row>
    <row r="320" ht="19" customHeight="1">
      <c r="B320" s="56" t="n"/>
      <c r="C320" s="56" t="n"/>
      <c r="D320" s="56" t="n"/>
      <c r="E320" s="57" t="n"/>
      <c r="F320" s="56" t="n"/>
      <c r="G320" s="53">
        <f>IF(B320&lt;&gt;"",TEXT(B320,"mmm yyyy"),"–")</f>
        <v/>
      </c>
    </row>
    <row r="321" ht="19" customHeight="1">
      <c r="B321" s="54" t="n"/>
      <c r="C321" s="54" t="n"/>
      <c r="D321" s="54" t="n"/>
      <c r="E321" s="55" t="n"/>
      <c r="F321" s="54" t="n"/>
      <c r="G321" s="51">
        <f>IF(B321&lt;&gt;"",TEXT(B321,"mmm yyyy"),"–")</f>
        <v/>
      </c>
    </row>
    <row r="322" ht="19" customHeight="1">
      <c r="B322" s="56" t="n"/>
      <c r="C322" s="56" t="n"/>
      <c r="D322" s="56" t="n"/>
      <c r="E322" s="57" t="n"/>
      <c r="F322" s="56" t="n"/>
      <c r="G322" s="53">
        <f>IF(B322&lt;&gt;"",TEXT(B322,"mmm yyyy"),"–")</f>
        <v/>
      </c>
    </row>
    <row r="323" ht="19" customHeight="1">
      <c r="B323" s="54" t="n"/>
      <c r="C323" s="54" t="n"/>
      <c r="D323" s="54" t="n"/>
      <c r="E323" s="55" t="n"/>
      <c r="F323" s="54" t="n"/>
      <c r="G323" s="51">
        <f>IF(B323&lt;&gt;"",TEXT(B323,"mmm yyyy"),"–")</f>
        <v/>
      </c>
    </row>
    <row r="324" ht="19" customHeight="1">
      <c r="B324" s="56" t="n"/>
      <c r="C324" s="56" t="n"/>
      <c r="D324" s="56" t="n"/>
      <c r="E324" s="57" t="n"/>
      <c r="F324" s="56" t="n"/>
      <c r="G324" s="53">
        <f>IF(B324&lt;&gt;"",TEXT(B324,"mmm yyyy"),"–")</f>
        <v/>
      </c>
    </row>
    <row r="325" ht="19" customHeight="1">
      <c r="B325" s="54" t="n"/>
      <c r="C325" s="54" t="n"/>
      <c r="D325" s="54" t="n"/>
      <c r="E325" s="55" t="n"/>
      <c r="F325" s="54" t="n"/>
      <c r="G325" s="51">
        <f>IF(B325&lt;&gt;"",TEXT(B325,"mmm yyyy"),"–")</f>
        <v/>
      </c>
    </row>
    <row r="326" ht="19" customHeight="1">
      <c r="B326" s="56" t="n"/>
      <c r="C326" s="56" t="n"/>
      <c r="D326" s="56" t="n"/>
      <c r="E326" s="57" t="n"/>
      <c r="F326" s="56" t="n"/>
      <c r="G326" s="53">
        <f>IF(B326&lt;&gt;"",TEXT(B326,"mmm yyyy"),"–")</f>
        <v/>
      </c>
    </row>
    <row r="327" ht="19" customHeight="1">
      <c r="B327" s="54" t="n"/>
      <c r="C327" s="54" t="n"/>
      <c r="D327" s="54" t="n"/>
      <c r="E327" s="55" t="n"/>
      <c r="F327" s="54" t="n"/>
      <c r="G327" s="51">
        <f>IF(B327&lt;&gt;"",TEXT(B327,"mmm yyyy"),"–")</f>
        <v/>
      </c>
    </row>
    <row r="328" ht="19" customHeight="1">
      <c r="B328" s="56" t="n"/>
      <c r="C328" s="56" t="n"/>
      <c r="D328" s="56" t="n"/>
      <c r="E328" s="57" t="n"/>
      <c r="F328" s="56" t="n"/>
      <c r="G328" s="53">
        <f>IF(B328&lt;&gt;"",TEXT(B328,"mmm yyyy"),"–")</f>
        <v/>
      </c>
    </row>
    <row r="329" ht="19" customHeight="1">
      <c r="B329" s="54" t="n"/>
      <c r="C329" s="54" t="n"/>
      <c r="D329" s="54" t="n"/>
      <c r="E329" s="55" t="n"/>
      <c r="F329" s="54" t="n"/>
      <c r="G329" s="51">
        <f>IF(B329&lt;&gt;"",TEXT(B329,"mmm yyyy"),"–")</f>
        <v/>
      </c>
    </row>
    <row r="330" ht="19" customHeight="1">
      <c r="B330" s="56" t="n"/>
      <c r="C330" s="56" t="n"/>
      <c r="D330" s="56" t="n"/>
      <c r="E330" s="57" t="n"/>
      <c r="F330" s="56" t="n"/>
      <c r="G330" s="53">
        <f>IF(B330&lt;&gt;"",TEXT(B330,"mmm yyyy"),"–")</f>
        <v/>
      </c>
    </row>
    <row r="331" ht="19" customHeight="1">
      <c r="B331" s="54" t="n"/>
      <c r="C331" s="54" t="n"/>
      <c r="D331" s="54" t="n"/>
      <c r="E331" s="55" t="n"/>
      <c r="F331" s="54" t="n"/>
      <c r="G331" s="51">
        <f>IF(B331&lt;&gt;"",TEXT(B331,"mmm yyyy"),"–")</f>
        <v/>
      </c>
    </row>
    <row r="332" ht="19" customHeight="1">
      <c r="B332" s="56" t="n"/>
      <c r="C332" s="56" t="n"/>
      <c r="D332" s="56" t="n"/>
      <c r="E332" s="57" t="n"/>
      <c r="F332" s="56" t="n"/>
      <c r="G332" s="53">
        <f>IF(B332&lt;&gt;"",TEXT(B332,"mmm yyyy"),"–")</f>
        <v/>
      </c>
    </row>
    <row r="333" ht="19" customHeight="1">
      <c r="B333" s="54" t="n"/>
      <c r="C333" s="54" t="n"/>
      <c r="D333" s="54" t="n"/>
      <c r="E333" s="55" t="n"/>
      <c r="F333" s="54" t="n"/>
      <c r="G333" s="51">
        <f>IF(B333&lt;&gt;"",TEXT(B333,"mmm yyyy"),"–")</f>
        <v/>
      </c>
    </row>
    <row r="334" ht="19" customHeight="1">
      <c r="B334" s="56" t="n"/>
      <c r="C334" s="56" t="n"/>
      <c r="D334" s="56" t="n"/>
      <c r="E334" s="57" t="n"/>
      <c r="F334" s="56" t="n"/>
      <c r="G334" s="53">
        <f>IF(B334&lt;&gt;"",TEXT(B334,"mmm yyyy"),"–")</f>
        <v/>
      </c>
    </row>
    <row r="335" ht="19" customHeight="1">
      <c r="B335" s="54" t="n"/>
      <c r="C335" s="54" t="n"/>
      <c r="D335" s="54" t="n"/>
      <c r="E335" s="55" t="n"/>
      <c r="F335" s="54" t="n"/>
      <c r="G335" s="51">
        <f>IF(B335&lt;&gt;"",TEXT(B335,"mmm yyyy"),"–")</f>
        <v/>
      </c>
    </row>
    <row r="336" ht="19" customHeight="1">
      <c r="B336" s="56" t="n"/>
      <c r="C336" s="56" t="n"/>
      <c r="D336" s="56" t="n"/>
      <c r="E336" s="57" t="n"/>
      <c r="F336" s="56" t="n"/>
      <c r="G336" s="53">
        <f>IF(B336&lt;&gt;"",TEXT(B336,"mmm yyyy"),"–")</f>
        <v/>
      </c>
    </row>
    <row r="337" ht="19" customHeight="1">
      <c r="B337" s="54" t="n"/>
      <c r="C337" s="54" t="n"/>
      <c r="D337" s="54" t="n"/>
      <c r="E337" s="55" t="n"/>
      <c r="F337" s="54" t="n"/>
      <c r="G337" s="51">
        <f>IF(B337&lt;&gt;"",TEXT(B337,"mmm yyyy"),"–")</f>
        <v/>
      </c>
    </row>
    <row r="338" ht="19" customHeight="1">
      <c r="B338" s="56" t="n"/>
      <c r="C338" s="56" t="n"/>
      <c r="D338" s="56" t="n"/>
      <c r="E338" s="57" t="n"/>
      <c r="F338" s="56" t="n"/>
      <c r="G338" s="53">
        <f>IF(B338&lt;&gt;"",TEXT(B338,"mmm yyyy"),"–")</f>
        <v/>
      </c>
    </row>
    <row r="339" ht="19" customHeight="1">
      <c r="B339" s="54" t="n"/>
      <c r="C339" s="54" t="n"/>
      <c r="D339" s="54" t="n"/>
      <c r="E339" s="55" t="n"/>
      <c r="F339" s="54" t="n"/>
      <c r="G339" s="51">
        <f>IF(B339&lt;&gt;"",TEXT(B339,"mmm yyyy"),"–")</f>
        <v/>
      </c>
    </row>
    <row r="340" ht="19" customHeight="1">
      <c r="B340" s="56" t="n"/>
      <c r="C340" s="56" t="n"/>
      <c r="D340" s="56" t="n"/>
      <c r="E340" s="57" t="n"/>
      <c r="F340" s="56" t="n"/>
      <c r="G340" s="53">
        <f>IF(B340&lt;&gt;"",TEXT(B340,"mmm yyyy"),"–")</f>
        <v/>
      </c>
    </row>
    <row r="341" ht="19" customHeight="1">
      <c r="B341" s="54" t="n"/>
      <c r="C341" s="54" t="n"/>
      <c r="D341" s="54" t="n"/>
      <c r="E341" s="55" t="n"/>
      <c r="F341" s="54" t="n"/>
      <c r="G341" s="51">
        <f>IF(B341&lt;&gt;"",TEXT(B341,"mmm yyyy"),"–")</f>
        <v/>
      </c>
    </row>
    <row r="342" ht="19" customHeight="1">
      <c r="B342" s="56" t="n"/>
      <c r="C342" s="56" t="n"/>
      <c r="D342" s="56" t="n"/>
      <c r="E342" s="57" t="n"/>
      <c r="F342" s="56" t="n"/>
      <c r="G342" s="53">
        <f>IF(B342&lt;&gt;"",TEXT(B342,"mmm yyyy"),"–")</f>
        <v/>
      </c>
    </row>
    <row r="343" ht="19" customHeight="1">
      <c r="B343" s="54" t="n"/>
      <c r="C343" s="54" t="n"/>
      <c r="D343" s="54" t="n"/>
      <c r="E343" s="55" t="n"/>
      <c r="F343" s="54" t="n"/>
      <c r="G343" s="51">
        <f>IF(B343&lt;&gt;"",TEXT(B343,"mmm yyyy"),"–")</f>
        <v/>
      </c>
    </row>
    <row r="344" ht="19" customHeight="1">
      <c r="B344" s="56" t="n"/>
      <c r="C344" s="56" t="n"/>
      <c r="D344" s="56" t="n"/>
      <c r="E344" s="57" t="n"/>
      <c r="F344" s="56" t="n"/>
      <c r="G344" s="53">
        <f>IF(B344&lt;&gt;"",TEXT(B344,"mmm yyyy"),"–")</f>
        <v/>
      </c>
    </row>
    <row r="345" ht="19" customHeight="1">
      <c r="B345" s="54" t="n"/>
      <c r="C345" s="54" t="n"/>
      <c r="D345" s="54" t="n"/>
      <c r="E345" s="55" t="n"/>
      <c r="F345" s="54" t="n"/>
      <c r="G345" s="51">
        <f>IF(B345&lt;&gt;"",TEXT(B345,"mmm yyyy"),"–")</f>
        <v/>
      </c>
    </row>
    <row r="346" ht="19" customHeight="1">
      <c r="B346" s="56" t="n"/>
      <c r="C346" s="56" t="n"/>
      <c r="D346" s="56" t="n"/>
      <c r="E346" s="57" t="n"/>
      <c r="F346" s="56" t="n"/>
      <c r="G346" s="53">
        <f>IF(B346&lt;&gt;"",TEXT(B346,"mmm yyyy"),"–")</f>
        <v/>
      </c>
    </row>
    <row r="347" ht="19" customHeight="1">
      <c r="B347" s="54" t="n"/>
      <c r="C347" s="54" t="n"/>
      <c r="D347" s="54" t="n"/>
      <c r="E347" s="55" t="n"/>
      <c r="F347" s="54" t="n"/>
      <c r="G347" s="51">
        <f>IF(B347&lt;&gt;"",TEXT(B347,"mmm yyyy"),"–")</f>
        <v/>
      </c>
    </row>
    <row r="348" ht="19" customHeight="1">
      <c r="B348" s="56" t="n"/>
      <c r="C348" s="56" t="n"/>
      <c r="D348" s="56" t="n"/>
      <c r="E348" s="57" t="n"/>
      <c r="F348" s="56" t="n"/>
      <c r="G348" s="53">
        <f>IF(B348&lt;&gt;"",TEXT(B348,"mmm yyyy"),"–")</f>
        <v/>
      </c>
    </row>
    <row r="349" ht="19" customHeight="1">
      <c r="B349" s="54" t="n"/>
      <c r="C349" s="54" t="n"/>
      <c r="D349" s="54" t="n"/>
      <c r="E349" s="55" t="n"/>
      <c r="F349" s="54" t="n"/>
      <c r="G349" s="51">
        <f>IF(B349&lt;&gt;"",TEXT(B349,"mmm yyyy"),"–")</f>
        <v/>
      </c>
    </row>
    <row r="350" ht="19" customHeight="1">
      <c r="B350" s="56" t="n"/>
      <c r="C350" s="56" t="n"/>
      <c r="D350" s="56" t="n"/>
      <c r="E350" s="57" t="n"/>
      <c r="F350" s="56" t="n"/>
      <c r="G350" s="53">
        <f>IF(B350&lt;&gt;"",TEXT(B350,"mmm yyyy"),"–")</f>
        <v/>
      </c>
    </row>
    <row r="351" ht="19" customHeight="1">
      <c r="B351" s="54" t="n"/>
      <c r="C351" s="54" t="n"/>
      <c r="D351" s="54" t="n"/>
      <c r="E351" s="55" t="n"/>
      <c r="F351" s="54" t="n"/>
      <c r="G351" s="51">
        <f>IF(B351&lt;&gt;"",TEXT(B351,"mmm yyyy"),"–")</f>
        <v/>
      </c>
    </row>
    <row r="352" ht="19" customHeight="1">
      <c r="B352" s="56" t="n"/>
      <c r="C352" s="56" t="n"/>
      <c r="D352" s="56" t="n"/>
      <c r="E352" s="57" t="n"/>
      <c r="F352" s="56" t="n"/>
      <c r="G352" s="53">
        <f>IF(B352&lt;&gt;"",TEXT(B352,"mmm yyyy"),"–")</f>
        <v/>
      </c>
    </row>
    <row r="353" ht="19" customHeight="1">
      <c r="B353" s="54" t="n"/>
      <c r="C353" s="54" t="n"/>
      <c r="D353" s="54" t="n"/>
      <c r="E353" s="55" t="n"/>
      <c r="F353" s="54" t="n"/>
      <c r="G353" s="51">
        <f>IF(B353&lt;&gt;"",TEXT(B353,"mmm yyyy"),"–")</f>
        <v/>
      </c>
    </row>
    <row r="354" ht="19" customHeight="1">
      <c r="B354" s="56" t="n"/>
      <c r="C354" s="56" t="n"/>
      <c r="D354" s="56" t="n"/>
      <c r="E354" s="57" t="n"/>
      <c r="F354" s="56" t="n"/>
      <c r="G354" s="53">
        <f>IF(B354&lt;&gt;"",TEXT(B354,"mmm yyyy"),"–")</f>
        <v/>
      </c>
    </row>
    <row r="355" ht="19" customHeight="1">
      <c r="B355" s="54" t="n"/>
      <c r="C355" s="54" t="n"/>
      <c r="D355" s="54" t="n"/>
      <c r="E355" s="55" t="n"/>
      <c r="F355" s="54" t="n"/>
      <c r="G355" s="51">
        <f>IF(B355&lt;&gt;"",TEXT(B355,"mmm yyyy"),"–")</f>
        <v/>
      </c>
    </row>
    <row r="356" ht="19" customHeight="1">
      <c r="B356" s="56" t="n"/>
      <c r="C356" s="56" t="n"/>
      <c r="D356" s="56" t="n"/>
      <c r="E356" s="57" t="n"/>
      <c r="F356" s="56" t="n"/>
      <c r="G356" s="53">
        <f>IF(B356&lt;&gt;"",TEXT(B356,"mmm yyyy"),"–")</f>
        <v/>
      </c>
    </row>
    <row r="357" ht="19" customHeight="1">
      <c r="B357" s="54" t="n"/>
      <c r="C357" s="54" t="n"/>
      <c r="D357" s="54" t="n"/>
      <c r="E357" s="55" t="n"/>
      <c r="F357" s="54" t="n"/>
      <c r="G357" s="51">
        <f>IF(B357&lt;&gt;"",TEXT(B357,"mmm yyyy"),"–")</f>
        <v/>
      </c>
    </row>
    <row r="358" ht="19" customHeight="1">
      <c r="B358" s="56" t="n"/>
      <c r="C358" s="56" t="n"/>
      <c r="D358" s="56" t="n"/>
      <c r="E358" s="57" t="n"/>
      <c r="F358" s="56" t="n"/>
      <c r="G358" s="53">
        <f>IF(B358&lt;&gt;"",TEXT(B358,"mmm yyyy"),"–")</f>
        <v/>
      </c>
    </row>
    <row r="359" ht="19" customHeight="1">
      <c r="B359" s="54" t="n"/>
      <c r="C359" s="54" t="n"/>
      <c r="D359" s="54" t="n"/>
      <c r="E359" s="55" t="n"/>
      <c r="F359" s="54" t="n"/>
      <c r="G359" s="51">
        <f>IF(B359&lt;&gt;"",TEXT(B359,"mmm yyyy"),"–")</f>
        <v/>
      </c>
    </row>
    <row r="360" ht="19" customHeight="1">
      <c r="B360" s="56" t="n"/>
      <c r="C360" s="56" t="n"/>
      <c r="D360" s="56" t="n"/>
      <c r="E360" s="57" t="n"/>
      <c r="F360" s="56" t="n"/>
      <c r="G360" s="53">
        <f>IF(B360&lt;&gt;"",TEXT(B360,"mmm yyyy"),"–")</f>
        <v/>
      </c>
    </row>
    <row r="361" ht="19" customHeight="1">
      <c r="B361" s="54" t="n"/>
      <c r="C361" s="54" t="n"/>
      <c r="D361" s="54" t="n"/>
      <c r="E361" s="55" t="n"/>
      <c r="F361" s="54" t="n"/>
      <c r="G361" s="51">
        <f>IF(B361&lt;&gt;"",TEXT(B361,"mmm yyyy"),"–")</f>
        <v/>
      </c>
    </row>
    <row r="362" ht="19" customHeight="1">
      <c r="B362" s="56" t="n"/>
      <c r="C362" s="56" t="n"/>
      <c r="D362" s="56" t="n"/>
      <c r="E362" s="57" t="n"/>
      <c r="F362" s="56" t="n"/>
      <c r="G362" s="53">
        <f>IF(B362&lt;&gt;"",TEXT(B362,"mmm yyyy"),"–")</f>
        <v/>
      </c>
    </row>
    <row r="363" ht="19" customHeight="1">
      <c r="B363" s="54" t="n"/>
      <c r="C363" s="54" t="n"/>
      <c r="D363" s="54" t="n"/>
      <c r="E363" s="55" t="n"/>
      <c r="F363" s="54" t="n"/>
      <c r="G363" s="51">
        <f>IF(B363&lt;&gt;"",TEXT(B363,"mmm yyyy"),"–")</f>
        <v/>
      </c>
    </row>
    <row r="364" ht="19" customHeight="1">
      <c r="B364" s="56" t="n"/>
      <c r="C364" s="56" t="n"/>
      <c r="D364" s="56" t="n"/>
      <c r="E364" s="57" t="n"/>
      <c r="F364" s="56" t="n"/>
      <c r="G364" s="53">
        <f>IF(B364&lt;&gt;"",TEXT(B364,"mmm yyyy"),"–")</f>
        <v/>
      </c>
    </row>
    <row r="365" ht="19" customHeight="1">
      <c r="B365" s="54" t="n"/>
      <c r="C365" s="54" t="n"/>
      <c r="D365" s="54" t="n"/>
      <c r="E365" s="55" t="n"/>
      <c r="F365" s="54" t="n"/>
      <c r="G365" s="51">
        <f>IF(B365&lt;&gt;"",TEXT(B365,"mmm yyyy"),"–")</f>
        <v/>
      </c>
    </row>
    <row r="366" ht="19" customHeight="1">
      <c r="B366" s="56" t="n"/>
      <c r="C366" s="56" t="n"/>
      <c r="D366" s="56" t="n"/>
      <c r="E366" s="57" t="n"/>
      <c r="F366" s="56" t="n"/>
      <c r="G366" s="53">
        <f>IF(B366&lt;&gt;"",TEXT(B366,"mmm yyyy"),"–")</f>
        <v/>
      </c>
    </row>
    <row r="367" ht="19" customHeight="1">
      <c r="B367" s="54" t="n"/>
      <c r="C367" s="54" t="n"/>
      <c r="D367" s="54" t="n"/>
      <c r="E367" s="55" t="n"/>
      <c r="F367" s="54" t="n"/>
      <c r="G367" s="51">
        <f>IF(B367&lt;&gt;"",TEXT(B367,"mmm yyyy"),"–")</f>
        <v/>
      </c>
    </row>
    <row r="368" ht="19" customHeight="1">
      <c r="B368" s="56" t="n"/>
      <c r="C368" s="56" t="n"/>
      <c r="D368" s="56" t="n"/>
      <c r="E368" s="57" t="n"/>
      <c r="F368" s="56" t="n"/>
      <c r="G368" s="53">
        <f>IF(B368&lt;&gt;"",TEXT(B368,"mmm yyyy"),"–")</f>
        <v/>
      </c>
    </row>
    <row r="369" ht="19" customHeight="1">
      <c r="B369" s="54" t="n"/>
      <c r="C369" s="54" t="n"/>
      <c r="D369" s="54" t="n"/>
      <c r="E369" s="55" t="n"/>
      <c r="F369" s="54" t="n"/>
      <c r="G369" s="51">
        <f>IF(B369&lt;&gt;"",TEXT(B369,"mmm yyyy"),"–")</f>
        <v/>
      </c>
    </row>
    <row r="370" ht="19" customHeight="1">
      <c r="B370" s="56" t="n"/>
      <c r="C370" s="56" t="n"/>
      <c r="D370" s="56" t="n"/>
      <c r="E370" s="57" t="n"/>
      <c r="F370" s="56" t="n"/>
      <c r="G370" s="53">
        <f>IF(B370&lt;&gt;"",TEXT(B370,"mmm yyyy"),"–")</f>
        <v/>
      </c>
    </row>
    <row r="371" ht="19" customHeight="1">
      <c r="B371" s="54" t="n"/>
      <c r="C371" s="54" t="n"/>
      <c r="D371" s="54" t="n"/>
      <c r="E371" s="55" t="n"/>
      <c r="F371" s="54" t="n"/>
      <c r="G371" s="51">
        <f>IF(B371&lt;&gt;"",TEXT(B371,"mmm yyyy"),"–")</f>
        <v/>
      </c>
    </row>
    <row r="372" ht="19" customHeight="1">
      <c r="B372" s="56" t="n"/>
      <c r="C372" s="56" t="n"/>
      <c r="D372" s="56" t="n"/>
      <c r="E372" s="57" t="n"/>
      <c r="F372" s="56" t="n"/>
      <c r="G372" s="53">
        <f>IF(B372&lt;&gt;"",TEXT(B372,"mmm yyyy"),"–")</f>
        <v/>
      </c>
    </row>
    <row r="373" ht="19" customHeight="1">
      <c r="B373" s="54" t="n"/>
      <c r="C373" s="54" t="n"/>
      <c r="D373" s="54" t="n"/>
      <c r="E373" s="55" t="n"/>
      <c r="F373" s="54" t="n"/>
      <c r="G373" s="51">
        <f>IF(B373&lt;&gt;"",TEXT(B373,"mmm yyyy"),"–")</f>
        <v/>
      </c>
    </row>
    <row r="374" ht="19" customHeight="1">
      <c r="B374" s="56" t="n"/>
      <c r="C374" s="56" t="n"/>
      <c r="D374" s="56" t="n"/>
      <c r="E374" s="57" t="n"/>
      <c r="F374" s="56" t="n"/>
      <c r="G374" s="53">
        <f>IF(B374&lt;&gt;"",TEXT(B374,"mmm yyyy"),"–")</f>
        <v/>
      </c>
    </row>
    <row r="375" ht="19" customHeight="1">
      <c r="B375" s="54" t="n"/>
      <c r="C375" s="54" t="n"/>
      <c r="D375" s="54" t="n"/>
      <c r="E375" s="55" t="n"/>
      <c r="F375" s="54" t="n"/>
      <c r="G375" s="51">
        <f>IF(B375&lt;&gt;"",TEXT(B375,"mmm yyyy"),"–")</f>
        <v/>
      </c>
    </row>
    <row r="376" ht="19" customHeight="1">
      <c r="B376" s="56" t="n"/>
      <c r="C376" s="56" t="n"/>
      <c r="D376" s="56" t="n"/>
      <c r="E376" s="57" t="n"/>
      <c r="F376" s="56" t="n"/>
      <c r="G376" s="53">
        <f>IF(B376&lt;&gt;"",TEXT(B376,"mmm yyyy"),"–")</f>
        <v/>
      </c>
    </row>
    <row r="377" ht="19" customHeight="1">
      <c r="B377" s="54" t="n"/>
      <c r="C377" s="54" t="n"/>
      <c r="D377" s="54" t="n"/>
      <c r="E377" s="55" t="n"/>
      <c r="F377" s="54" t="n"/>
      <c r="G377" s="51">
        <f>IF(B377&lt;&gt;"",TEXT(B377,"mmm yyyy"),"–")</f>
        <v/>
      </c>
    </row>
    <row r="378" ht="19" customHeight="1">
      <c r="B378" s="56" t="n"/>
      <c r="C378" s="56" t="n"/>
      <c r="D378" s="56" t="n"/>
      <c r="E378" s="57" t="n"/>
      <c r="F378" s="56" t="n"/>
      <c r="G378" s="53">
        <f>IF(B378&lt;&gt;"",TEXT(B378,"mmm yyyy"),"–")</f>
        <v/>
      </c>
    </row>
    <row r="379" ht="19" customHeight="1">
      <c r="B379" s="54" t="n"/>
      <c r="C379" s="54" t="n"/>
      <c r="D379" s="54" t="n"/>
      <c r="E379" s="55" t="n"/>
      <c r="F379" s="54" t="n"/>
      <c r="G379" s="51">
        <f>IF(B379&lt;&gt;"",TEXT(B379,"mmm yyyy"),"–")</f>
        <v/>
      </c>
    </row>
    <row r="380" ht="19" customHeight="1">
      <c r="B380" s="56" t="n"/>
      <c r="C380" s="56" t="n"/>
      <c r="D380" s="56" t="n"/>
      <c r="E380" s="57" t="n"/>
      <c r="F380" s="56" t="n"/>
      <c r="G380" s="53">
        <f>IF(B380&lt;&gt;"",TEXT(B380,"mmm yyyy"),"–")</f>
        <v/>
      </c>
    </row>
    <row r="381" ht="19" customHeight="1">
      <c r="B381" s="54" t="n"/>
      <c r="C381" s="54" t="n"/>
      <c r="D381" s="54" t="n"/>
      <c r="E381" s="55" t="n"/>
      <c r="F381" s="54" t="n"/>
      <c r="G381" s="51">
        <f>IF(B381&lt;&gt;"",TEXT(B381,"mmm yyyy"),"–")</f>
        <v/>
      </c>
    </row>
    <row r="382" ht="19" customHeight="1">
      <c r="B382" s="56" t="n"/>
      <c r="C382" s="56" t="n"/>
      <c r="D382" s="56" t="n"/>
      <c r="E382" s="57" t="n"/>
      <c r="F382" s="56" t="n"/>
      <c r="G382" s="53">
        <f>IF(B382&lt;&gt;"",TEXT(B382,"mmm yyyy"),"–")</f>
        <v/>
      </c>
    </row>
    <row r="383" ht="19" customHeight="1">
      <c r="B383" s="54" t="n"/>
      <c r="C383" s="54" t="n"/>
      <c r="D383" s="54" t="n"/>
      <c r="E383" s="55" t="n"/>
      <c r="F383" s="54" t="n"/>
      <c r="G383" s="51">
        <f>IF(B383&lt;&gt;"",TEXT(B383,"mmm yyyy"),"–")</f>
        <v/>
      </c>
    </row>
    <row r="384" ht="19" customHeight="1">
      <c r="B384" s="56" t="n"/>
      <c r="C384" s="56" t="n"/>
      <c r="D384" s="56" t="n"/>
      <c r="E384" s="57" t="n"/>
      <c r="F384" s="56" t="n"/>
      <c r="G384" s="53">
        <f>IF(B384&lt;&gt;"",TEXT(B384,"mmm yyyy"),"–")</f>
        <v/>
      </c>
    </row>
    <row r="385" ht="19" customHeight="1">
      <c r="B385" s="54" t="n"/>
      <c r="C385" s="54" t="n"/>
      <c r="D385" s="54" t="n"/>
      <c r="E385" s="55" t="n"/>
      <c r="F385" s="54" t="n"/>
      <c r="G385" s="51">
        <f>IF(B385&lt;&gt;"",TEXT(B385,"mmm yyyy"),"–")</f>
        <v/>
      </c>
    </row>
    <row r="386" ht="19" customHeight="1">
      <c r="B386" s="56" t="n"/>
      <c r="C386" s="56" t="n"/>
      <c r="D386" s="56" t="n"/>
      <c r="E386" s="57" t="n"/>
      <c r="F386" s="56" t="n"/>
      <c r="G386" s="53">
        <f>IF(B386&lt;&gt;"",TEXT(B386,"mmm yyyy"),"–")</f>
        <v/>
      </c>
    </row>
    <row r="387" ht="19" customHeight="1">
      <c r="B387" s="54" t="n"/>
      <c r="C387" s="54" t="n"/>
      <c r="D387" s="54" t="n"/>
      <c r="E387" s="55" t="n"/>
      <c r="F387" s="54" t="n"/>
      <c r="G387" s="51">
        <f>IF(B387&lt;&gt;"",TEXT(B387,"mmm yyyy"),"–")</f>
        <v/>
      </c>
    </row>
    <row r="388" ht="19" customHeight="1">
      <c r="B388" s="56" t="n"/>
      <c r="C388" s="56" t="n"/>
      <c r="D388" s="56" t="n"/>
      <c r="E388" s="57" t="n"/>
      <c r="F388" s="56" t="n"/>
      <c r="G388" s="53">
        <f>IF(B388&lt;&gt;"",TEXT(B388,"mmm yyyy"),"–")</f>
        <v/>
      </c>
    </row>
    <row r="389" ht="19" customHeight="1">
      <c r="B389" s="54" t="n"/>
      <c r="C389" s="54" t="n"/>
      <c r="D389" s="54" t="n"/>
      <c r="E389" s="55" t="n"/>
      <c r="F389" s="54" t="n"/>
      <c r="G389" s="51">
        <f>IF(B389&lt;&gt;"",TEXT(B389,"mmm yyyy"),"–")</f>
        <v/>
      </c>
    </row>
    <row r="390" ht="19" customHeight="1">
      <c r="B390" s="56" t="n"/>
      <c r="C390" s="56" t="n"/>
      <c r="D390" s="56" t="n"/>
      <c r="E390" s="57" t="n"/>
      <c r="F390" s="56" t="n"/>
      <c r="G390" s="53">
        <f>IF(B390&lt;&gt;"",TEXT(B390,"mmm yyyy"),"–")</f>
        <v/>
      </c>
    </row>
    <row r="391" ht="19" customHeight="1">
      <c r="B391" s="54" t="n"/>
      <c r="C391" s="54" t="n"/>
      <c r="D391" s="54" t="n"/>
      <c r="E391" s="55" t="n"/>
      <c r="F391" s="54" t="n"/>
      <c r="G391" s="51">
        <f>IF(B391&lt;&gt;"",TEXT(B391,"mmm yyyy"),"–")</f>
        <v/>
      </c>
    </row>
    <row r="392" ht="19" customHeight="1">
      <c r="B392" s="56" t="n"/>
      <c r="C392" s="56" t="n"/>
      <c r="D392" s="56" t="n"/>
      <c r="E392" s="57" t="n"/>
      <c r="F392" s="56" t="n"/>
      <c r="G392" s="53">
        <f>IF(B392&lt;&gt;"",TEXT(B392,"mmm yyyy"),"–")</f>
        <v/>
      </c>
    </row>
    <row r="393" ht="19" customHeight="1">
      <c r="B393" s="54" t="n"/>
      <c r="C393" s="54" t="n"/>
      <c r="D393" s="54" t="n"/>
      <c r="E393" s="55" t="n"/>
      <c r="F393" s="54" t="n"/>
      <c r="G393" s="51">
        <f>IF(B393&lt;&gt;"",TEXT(B393,"mmm yyyy"),"–")</f>
        <v/>
      </c>
    </row>
    <row r="394" ht="19" customHeight="1">
      <c r="B394" s="56" t="n"/>
      <c r="C394" s="56" t="n"/>
      <c r="D394" s="56" t="n"/>
      <c r="E394" s="57" t="n"/>
      <c r="F394" s="56" t="n"/>
      <c r="G394" s="53">
        <f>IF(B394&lt;&gt;"",TEXT(B394,"mmm yyyy"),"–")</f>
        <v/>
      </c>
    </row>
    <row r="395" ht="19" customHeight="1">
      <c r="B395" s="54" t="n"/>
      <c r="C395" s="54" t="n"/>
      <c r="D395" s="54" t="n"/>
      <c r="E395" s="55" t="n"/>
      <c r="F395" s="54" t="n"/>
      <c r="G395" s="51">
        <f>IF(B395&lt;&gt;"",TEXT(B395,"mmm yyyy"),"–")</f>
        <v/>
      </c>
    </row>
    <row r="396" ht="19" customHeight="1">
      <c r="B396" s="56" t="n"/>
      <c r="C396" s="56" t="n"/>
      <c r="D396" s="56" t="n"/>
      <c r="E396" s="57" t="n"/>
      <c r="F396" s="56" t="n"/>
      <c r="G396" s="53">
        <f>IF(B396&lt;&gt;"",TEXT(B396,"mmm yyyy"),"–")</f>
        <v/>
      </c>
    </row>
    <row r="397" ht="19" customHeight="1">
      <c r="B397" s="54" t="n"/>
      <c r="C397" s="54" t="n"/>
      <c r="D397" s="54" t="n"/>
      <c r="E397" s="55" t="n"/>
      <c r="F397" s="54" t="n"/>
      <c r="G397" s="51">
        <f>IF(B397&lt;&gt;"",TEXT(B397,"mmm yyyy"),"–")</f>
        <v/>
      </c>
    </row>
    <row r="398" ht="19" customHeight="1">
      <c r="B398" s="56" t="n"/>
      <c r="C398" s="56" t="n"/>
      <c r="D398" s="56" t="n"/>
      <c r="E398" s="57" t="n"/>
      <c r="F398" s="56" t="n"/>
      <c r="G398" s="53">
        <f>IF(B398&lt;&gt;"",TEXT(B398,"mmm yyyy"),"–")</f>
        <v/>
      </c>
    </row>
    <row r="399" ht="19" customHeight="1">
      <c r="B399" s="54" t="n"/>
      <c r="C399" s="54" t="n"/>
      <c r="D399" s="54" t="n"/>
      <c r="E399" s="55" t="n"/>
      <c r="F399" s="54" t="n"/>
      <c r="G399" s="51">
        <f>IF(B399&lt;&gt;"",TEXT(B399,"mmm yyyy"),"–")</f>
        <v/>
      </c>
    </row>
    <row r="400" ht="19" customHeight="1">
      <c r="B400" s="56" t="n"/>
      <c r="C400" s="56" t="n"/>
      <c r="D400" s="56" t="n"/>
      <c r="E400" s="57" t="n"/>
      <c r="F400" s="56" t="n"/>
      <c r="G400" s="53">
        <f>IF(B400&lt;&gt;"",TEXT(B400,"mmm yyyy"),"–")</f>
        <v/>
      </c>
    </row>
    <row r="401" ht="19" customHeight="1">
      <c r="B401" s="54" t="n"/>
      <c r="C401" s="54" t="n"/>
      <c r="D401" s="54" t="n"/>
      <c r="E401" s="55" t="n"/>
      <c r="F401" s="54" t="n"/>
      <c r="G401" s="51">
        <f>IF(B401&lt;&gt;"",TEXT(B401,"mmm yyyy"),"–")</f>
        <v/>
      </c>
    </row>
    <row r="402" ht="19" customHeight="1">
      <c r="B402" s="56" t="n"/>
      <c r="C402" s="56" t="n"/>
      <c r="D402" s="56" t="n"/>
      <c r="E402" s="57" t="n"/>
      <c r="F402" s="56" t="n"/>
      <c r="G402" s="53">
        <f>IF(B402&lt;&gt;"",TEXT(B402,"mmm yyyy"),"–")</f>
        <v/>
      </c>
    </row>
    <row r="403" ht="19" customHeight="1">
      <c r="B403" s="54" t="n"/>
      <c r="C403" s="54" t="n"/>
      <c r="D403" s="54" t="n"/>
      <c r="E403" s="55" t="n"/>
      <c r="F403" s="54" t="n"/>
      <c r="G403" s="51">
        <f>IF(B403&lt;&gt;"",TEXT(B403,"mmm yyyy"),"–")</f>
        <v/>
      </c>
    </row>
    <row r="404" ht="19" customHeight="1">
      <c r="B404" s="56" t="n"/>
      <c r="C404" s="56" t="n"/>
      <c r="D404" s="56" t="n"/>
      <c r="E404" s="57" t="n"/>
      <c r="F404" s="56" t="n"/>
      <c r="G404" s="53">
        <f>IF(B404&lt;&gt;"",TEXT(B404,"mmm yyyy"),"–")</f>
        <v/>
      </c>
    </row>
    <row r="405" ht="19" customHeight="1">
      <c r="B405" s="54" t="n"/>
      <c r="C405" s="54" t="n"/>
      <c r="D405" s="54" t="n"/>
      <c r="E405" s="55" t="n"/>
      <c r="F405" s="54" t="n"/>
      <c r="G405" s="51">
        <f>IF(B405&lt;&gt;"",TEXT(B405,"mmm yyyy"),"–")</f>
        <v/>
      </c>
    </row>
    <row r="406" ht="19" customHeight="1">
      <c r="B406" s="56" t="n"/>
      <c r="C406" s="56" t="n"/>
      <c r="D406" s="56" t="n"/>
      <c r="E406" s="57" t="n"/>
      <c r="F406" s="56" t="n"/>
      <c r="G406" s="53">
        <f>IF(B406&lt;&gt;"",TEXT(B406,"mmm yyyy"),"–")</f>
        <v/>
      </c>
    </row>
    <row r="407" ht="19" customHeight="1">
      <c r="B407" s="54" t="n"/>
      <c r="C407" s="54" t="n"/>
      <c r="D407" s="54" t="n"/>
      <c r="E407" s="55" t="n"/>
      <c r="F407" s="54" t="n"/>
      <c r="G407" s="51">
        <f>IF(B407&lt;&gt;"",TEXT(B407,"mmm yyyy"),"–")</f>
        <v/>
      </c>
    </row>
    <row r="408" ht="19" customHeight="1">
      <c r="B408" s="56" t="n"/>
      <c r="C408" s="56" t="n"/>
      <c r="D408" s="56" t="n"/>
      <c r="E408" s="57" t="n"/>
      <c r="F408" s="56" t="n"/>
      <c r="G408" s="53">
        <f>IF(B408&lt;&gt;"",TEXT(B408,"mmm yyyy"),"–")</f>
        <v/>
      </c>
    </row>
    <row r="409" ht="19" customHeight="1">
      <c r="B409" s="54" t="n"/>
      <c r="C409" s="54" t="n"/>
      <c r="D409" s="54" t="n"/>
      <c r="E409" s="55" t="n"/>
      <c r="F409" s="54" t="n"/>
      <c r="G409" s="51">
        <f>IF(B409&lt;&gt;"",TEXT(B409,"mmm yyyy"),"–")</f>
        <v/>
      </c>
    </row>
    <row r="410" ht="19" customHeight="1">
      <c r="B410" s="56" t="n"/>
      <c r="C410" s="56" t="n"/>
      <c r="D410" s="56" t="n"/>
      <c r="E410" s="57" t="n"/>
      <c r="F410" s="56" t="n"/>
      <c r="G410" s="53">
        <f>IF(B410&lt;&gt;"",TEXT(B410,"mmm yyyy"),"–")</f>
        <v/>
      </c>
    </row>
    <row r="411" ht="19" customHeight="1">
      <c r="B411" s="54" t="n"/>
      <c r="C411" s="54" t="n"/>
      <c r="D411" s="54" t="n"/>
      <c r="E411" s="55" t="n"/>
      <c r="F411" s="54" t="n"/>
      <c r="G411" s="51">
        <f>IF(B411&lt;&gt;"",TEXT(B411,"mmm yyyy"),"–")</f>
        <v/>
      </c>
    </row>
    <row r="412" ht="19" customHeight="1">
      <c r="B412" s="56" t="n"/>
      <c r="C412" s="56" t="n"/>
      <c r="D412" s="56" t="n"/>
      <c r="E412" s="57" t="n"/>
      <c r="F412" s="56" t="n"/>
      <c r="G412" s="53">
        <f>IF(B412&lt;&gt;"",TEXT(B412,"mmm yyyy"),"–")</f>
        <v/>
      </c>
    </row>
    <row r="413" ht="19" customHeight="1">
      <c r="B413" s="54" t="n"/>
      <c r="C413" s="54" t="n"/>
      <c r="D413" s="54" t="n"/>
      <c r="E413" s="55" t="n"/>
      <c r="F413" s="54" t="n"/>
      <c r="G413" s="51">
        <f>IF(B413&lt;&gt;"",TEXT(B413,"mmm yyyy"),"–")</f>
        <v/>
      </c>
    </row>
    <row r="414" ht="19" customHeight="1">
      <c r="B414" s="56" t="n"/>
      <c r="C414" s="56" t="n"/>
      <c r="D414" s="56" t="n"/>
      <c r="E414" s="57" t="n"/>
      <c r="F414" s="56" t="n"/>
      <c r="G414" s="53">
        <f>IF(B414&lt;&gt;"",TEXT(B414,"mmm yyyy"),"–")</f>
        <v/>
      </c>
    </row>
    <row r="415" ht="19" customHeight="1">
      <c r="B415" s="54" t="n"/>
      <c r="C415" s="54" t="n"/>
      <c r="D415" s="54" t="n"/>
      <c r="E415" s="55" t="n"/>
      <c r="F415" s="54" t="n"/>
      <c r="G415" s="51">
        <f>IF(B415&lt;&gt;"",TEXT(B415,"mmm yyyy"),"–")</f>
        <v/>
      </c>
    </row>
    <row r="416" ht="19" customHeight="1">
      <c r="B416" s="56" t="n"/>
      <c r="C416" s="56" t="n"/>
      <c r="D416" s="56" t="n"/>
      <c r="E416" s="57" t="n"/>
      <c r="F416" s="56" t="n"/>
      <c r="G416" s="53">
        <f>IF(B416&lt;&gt;"",TEXT(B416,"mmm yyyy"),"–")</f>
        <v/>
      </c>
    </row>
    <row r="417" ht="19" customHeight="1">
      <c r="B417" s="54" t="n"/>
      <c r="C417" s="54" t="n"/>
      <c r="D417" s="54" t="n"/>
      <c r="E417" s="55" t="n"/>
      <c r="F417" s="54" t="n"/>
      <c r="G417" s="51">
        <f>IF(B417&lt;&gt;"",TEXT(B417,"mmm yyyy"),"–")</f>
        <v/>
      </c>
    </row>
    <row r="418" ht="19" customHeight="1">
      <c r="B418" s="56" t="n"/>
      <c r="C418" s="56" t="n"/>
      <c r="D418" s="56" t="n"/>
      <c r="E418" s="57" t="n"/>
      <c r="F418" s="56" t="n"/>
      <c r="G418" s="53">
        <f>IF(B418&lt;&gt;"",TEXT(B418,"mmm yyyy"),"–")</f>
        <v/>
      </c>
    </row>
    <row r="419" ht="19" customHeight="1">
      <c r="B419" s="54" t="n"/>
      <c r="C419" s="54" t="n"/>
      <c r="D419" s="54" t="n"/>
      <c r="E419" s="55" t="n"/>
      <c r="F419" s="54" t="n"/>
      <c r="G419" s="51">
        <f>IF(B419&lt;&gt;"",TEXT(B419,"mmm yyyy"),"–")</f>
        <v/>
      </c>
    </row>
    <row r="420" ht="19" customHeight="1">
      <c r="B420" s="56" t="n"/>
      <c r="C420" s="56" t="n"/>
      <c r="D420" s="56" t="n"/>
      <c r="E420" s="57" t="n"/>
      <c r="F420" s="56" t="n"/>
      <c r="G420" s="53">
        <f>IF(B420&lt;&gt;"",TEXT(B420,"mmm yyyy"),"–")</f>
        <v/>
      </c>
    </row>
    <row r="421" ht="19" customHeight="1">
      <c r="B421" s="54" t="n"/>
      <c r="C421" s="54" t="n"/>
      <c r="D421" s="54" t="n"/>
      <c r="E421" s="55" t="n"/>
      <c r="F421" s="54" t="n"/>
      <c r="G421" s="51">
        <f>IF(B421&lt;&gt;"",TEXT(B421,"mmm yyyy"),"–")</f>
        <v/>
      </c>
    </row>
    <row r="422" ht="19" customHeight="1">
      <c r="B422" s="56" t="n"/>
      <c r="C422" s="56" t="n"/>
      <c r="D422" s="56" t="n"/>
      <c r="E422" s="57" t="n"/>
      <c r="F422" s="56" t="n"/>
      <c r="G422" s="53">
        <f>IF(B422&lt;&gt;"",TEXT(B422,"mmm yyyy"),"–")</f>
        <v/>
      </c>
    </row>
    <row r="423" ht="19" customHeight="1">
      <c r="B423" s="54" t="n"/>
      <c r="C423" s="54" t="n"/>
      <c r="D423" s="54" t="n"/>
      <c r="E423" s="55" t="n"/>
      <c r="F423" s="54" t="n"/>
      <c r="G423" s="51">
        <f>IF(B423&lt;&gt;"",TEXT(B423,"mmm yyyy"),"–")</f>
        <v/>
      </c>
    </row>
    <row r="424" ht="19" customHeight="1">
      <c r="B424" s="56" t="n"/>
      <c r="C424" s="56" t="n"/>
      <c r="D424" s="56" t="n"/>
      <c r="E424" s="57" t="n"/>
      <c r="F424" s="56" t="n"/>
      <c r="G424" s="53">
        <f>IF(B424&lt;&gt;"",TEXT(B424,"mmm yyyy"),"–")</f>
        <v/>
      </c>
    </row>
    <row r="425" ht="19" customHeight="1">
      <c r="B425" s="54" t="n"/>
      <c r="C425" s="54" t="n"/>
      <c r="D425" s="54" t="n"/>
      <c r="E425" s="55" t="n"/>
      <c r="F425" s="54" t="n"/>
      <c r="G425" s="51">
        <f>IF(B425&lt;&gt;"",TEXT(B425,"mmm yyyy"),"–")</f>
        <v/>
      </c>
    </row>
    <row r="426" ht="19" customHeight="1">
      <c r="B426" s="56" t="n"/>
      <c r="C426" s="56" t="n"/>
      <c r="D426" s="56" t="n"/>
      <c r="E426" s="57" t="n"/>
      <c r="F426" s="56" t="n"/>
      <c r="G426" s="53">
        <f>IF(B426&lt;&gt;"",TEXT(B426,"mmm yyyy"),"–")</f>
        <v/>
      </c>
    </row>
    <row r="427" ht="19" customHeight="1">
      <c r="B427" s="54" t="n"/>
      <c r="C427" s="54" t="n"/>
      <c r="D427" s="54" t="n"/>
      <c r="E427" s="55" t="n"/>
      <c r="F427" s="54" t="n"/>
      <c r="G427" s="51">
        <f>IF(B427&lt;&gt;"",TEXT(B427,"mmm yyyy"),"–")</f>
        <v/>
      </c>
    </row>
    <row r="428" ht="19" customHeight="1">
      <c r="B428" s="56" t="n"/>
      <c r="C428" s="56" t="n"/>
      <c r="D428" s="56" t="n"/>
      <c r="E428" s="57" t="n"/>
      <c r="F428" s="56" t="n"/>
      <c r="G428" s="53">
        <f>IF(B428&lt;&gt;"",TEXT(B428,"mmm yyyy"),"–")</f>
        <v/>
      </c>
    </row>
    <row r="429" ht="19" customHeight="1">
      <c r="B429" s="54" t="n"/>
      <c r="C429" s="54" t="n"/>
      <c r="D429" s="54" t="n"/>
      <c r="E429" s="55" t="n"/>
      <c r="F429" s="54" t="n"/>
      <c r="G429" s="51">
        <f>IF(B429&lt;&gt;"",TEXT(B429,"mmm yyyy"),"–")</f>
        <v/>
      </c>
    </row>
    <row r="430" ht="19" customHeight="1">
      <c r="B430" s="56" t="n"/>
      <c r="C430" s="56" t="n"/>
      <c r="D430" s="56" t="n"/>
      <c r="E430" s="57" t="n"/>
      <c r="F430" s="56" t="n"/>
      <c r="G430" s="53">
        <f>IF(B430&lt;&gt;"",TEXT(B430,"mmm yyyy"),"–")</f>
        <v/>
      </c>
    </row>
    <row r="431" ht="19" customHeight="1">
      <c r="B431" s="54" t="n"/>
      <c r="C431" s="54" t="n"/>
      <c r="D431" s="54" t="n"/>
      <c r="E431" s="55" t="n"/>
      <c r="F431" s="54" t="n"/>
      <c r="G431" s="51">
        <f>IF(B431&lt;&gt;"",TEXT(B431,"mmm yyyy"),"–")</f>
        <v/>
      </c>
    </row>
    <row r="432" ht="19" customHeight="1">
      <c r="B432" s="56" t="n"/>
      <c r="C432" s="56" t="n"/>
      <c r="D432" s="56" t="n"/>
      <c r="E432" s="57" t="n"/>
      <c r="F432" s="56" t="n"/>
      <c r="G432" s="53">
        <f>IF(B432&lt;&gt;"",TEXT(B432,"mmm yyyy"),"–")</f>
        <v/>
      </c>
    </row>
    <row r="433" ht="19" customHeight="1">
      <c r="B433" s="54" t="n"/>
      <c r="C433" s="54" t="n"/>
      <c r="D433" s="54" t="n"/>
      <c r="E433" s="55" t="n"/>
      <c r="F433" s="54" t="n"/>
      <c r="G433" s="51">
        <f>IF(B433&lt;&gt;"",TEXT(B433,"mmm yyyy"),"–")</f>
        <v/>
      </c>
    </row>
    <row r="434" ht="19" customHeight="1">
      <c r="B434" s="56" t="n"/>
      <c r="C434" s="56" t="n"/>
      <c r="D434" s="56" t="n"/>
      <c r="E434" s="57" t="n"/>
      <c r="F434" s="56" t="n"/>
      <c r="G434" s="53">
        <f>IF(B434&lt;&gt;"",TEXT(B434,"mmm yyyy"),"–")</f>
        <v/>
      </c>
    </row>
    <row r="435" ht="19" customHeight="1">
      <c r="B435" s="54" t="n"/>
      <c r="C435" s="54" t="n"/>
      <c r="D435" s="54" t="n"/>
      <c r="E435" s="55" t="n"/>
      <c r="F435" s="54" t="n"/>
      <c r="G435" s="51">
        <f>IF(B435&lt;&gt;"",TEXT(B435,"mmm yyyy"),"–")</f>
        <v/>
      </c>
    </row>
    <row r="436" ht="19" customHeight="1">
      <c r="B436" s="56" t="n"/>
      <c r="C436" s="56" t="n"/>
      <c r="D436" s="56" t="n"/>
      <c r="E436" s="57" t="n"/>
      <c r="F436" s="56" t="n"/>
      <c r="G436" s="53">
        <f>IF(B436&lt;&gt;"",TEXT(B436,"mmm yyyy"),"–")</f>
        <v/>
      </c>
    </row>
    <row r="437" ht="19" customHeight="1">
      <c r="B437" s="54" t="n"/>
      <c r="C437" s="54" t="n"/>
      <c r="D437" s="54" t="n"/>
      <c r="E437" s="55" t="n"/>
      <c r="F437" s="54" t="n"/>
      <c r="G437" s="51">
        <f>IF(B437&lt;&gt;"",TEXT(B437,"mmm yyyy"),"–")</f>
        <v/>
      </c>
    </row>
    <row r="438" ht="19" customHeight="1">
      <c r="B438" s="56" t="n"/>
      <c r="C438" s="56" t="n"/>
      <c r="D438" s="56" t="n"/>
      <c r="E438" s="57" t="n"/>
      <c r="F438" s="56" t="n"/>
      <c r="G438" s="53">
        <f>IF(B438&lt;&gt;"",TEXT(B438,"mmm yyyy"),"–")</f>
        <v/>
      </c>
    </row>
    <row r="439" ht="19" customHeight="1">
      <c r="B439" s="54" t="n"/>
      <c r="C439" s="54" t="n"/>
      <c r="D439" s="54" t="n"/>
      <c r="E439" s="55" t="n"/>
      <c r="F439" s="54" t="n"/>
      <c r="G439" s="51">
        <f>IF(B439&lt;&gt;"",TEXT(B439,"mmm yyyy"),"–")</f>
        <v/>
      </c>
    </row>
    <row r="440" ht="19" customHeight="1">
      <c r="B440" s="56" t="n"/>
      <c r="C440" s="56" t="n"/>
      <c r="D440" s="56" t="n"/>
      <c r="E440" s="57" t="n"/>
      <c r="F440" s="56" t="n"/>
      <c r="G440" s="53">
        <f>IF(B440&lt;&gt;"",TEXT(B440,"mmm yyyy"),"–")</f>
        <v/>
      </c>
    </row>
    <row r="441" ht="19" customHeight="1">
      <c r="B441" s="54" t="n"/>
      <c r="C441" s="54" t="n"/>
      <c r="D441" s="54" t="n"/>
      <c r="E441" s="55" t="n"/>
      <c r="F441" s="54" t="n"/>
      <c r="G441" s="51">
        <f>IF(B441&lt;&gt;"",TEXT(B441,"mmm yyyy"),"–")</f>
        <v/>
      </c>
    </row>
    <row r="442" ht="19" customHeight="1">
      <c r="B442" s="56" t="n"/>
      <c r="C442" s="56" t="n"/>
      <c r="D442" s="56" t="n"/>
      <c r="E442" s="57" t="n"/>
      <c r="F442" s="56" t="n"/>
      <c r="G442" s="53">
        <f>IF(B442&lt;&gt;"",TEXT(B442,"mmm yyyy"),"–")</f>
        <v/>
      </c>
    </row>
    <row r="443" ht="19" customHeight="1">
      <c r="B443" s="54" t="n"/>
      <c r="C443" s="54" t="n"/>
      <c r="D443" s="54" t="n"/>
      <c r="E443" s="55" t="n"/>
      <c r="F443" s="54" t="n"/>
      <c r="G443" s="51">
        <f>IF(B443&lt;&gt;"",TEXT(B443,"mmm yyyy"),"–")</f>
        <v/>
      </c>
    </row>
    <row r="444" ht="19" customHeight="1">
      <c r="B444" s="56" t="n"/>
      <c r="C444" s="56" t="n"/>
      <c r="D444" s="56" t="n"/>
      <c r="E444" s="57" t="n"/>
      <c r="F444" s="56" t="n"/>
      <c r="G444" s="53">
        <f>IF(B444&lt;&gt;"",TEXT(B444,"mmm yyyy"),"–")</f>
        <v/>
      </c>
    </row>
    <row r="445" ht="19" customHeight="1">
      <c r="B445" s="54" t="n"/>
      <c r="C445" s="54" t="n"/>
      <c r="D445" s="54" t="n"/>
      <c r="E445" s="55" t="n"/>
      <c r="F445" s="54" t="n"/>
      <c r="G445" s="51">
        <f>IF(B445&lt;&gt;"",TEXT(B445,"mmm yyyy"),"–")</f>
        <v/>
      </c>
    </row>
    <row r="446" ht="19" customHeight="1">
      <c r="B446" s="56" t="n"/>
      <c r="C446" s="56" t="n"/>
      <c r="D446" s="56" t="n"/>
      <c r="E446" s="57" t="n"/>
      <c r="F446" s="56" t="n"/>
      <c r="G446" s="53">
        <f>IF(B446&lt;&gt;"",TEXT(B446,"mmm yyyy"),"–")</f>
        <v/>
      </c>
    </row>
    <row r="447" ht="19" customHeight="1">
      <c r="B447" s="54" t="n"/>
      <c r="C447" s="54" t="n"/>
      <c r="D447" s="54" t="n"/>
      <c r="E447" s="55" t="n"/>
      <c r="F447" s="54" t="n"/>
      <c r="G447" s="51">
        <f>IF(B447&lt;&gt;"",TEXT(B447,"mmm yyyy"),"–")</f>
        <v/>
      </c>
    </row>
    <row r="448" ht="19" customHeight="1">
      <c r="B448" s="56" t="n"/>
      <c r="C448" s="56" t="n"/>
      <c r="D448" s="56" t="n"/>
      <c r="E448" s="57" t="n"/>
      <c r="F448" s="56" t="n"/>
      <c r="G448" s="53">
        <f>IF(B448&lt;&gt;"",TEXT(B448,"mmm yyyy"),"–")</f>
        <v/>
      </c>
    </row>
    <row r="449" ht="19" customHeight="1">
      <c r="B449" s="54" t="n"/>
      <c r="C449" s="54" t="n"/>
      <c r="D449" s="54" t="n"/>
      <c r="E449" s="55" t="n"/>
      <c r="F449" s="54" t="n"/>
      <c r="G449" s="51">
        <f>IF(B449&lt;&gt;"",TEXT(B449,"mmm yyyy"),"–")</f>
        <v/>
      </c>
    </row>
    <row r="450" ht="19" customHeight="1">
      <c r="B450" s="56" t="n"/>
      <c r="C450" s="56" t="n"/>
      <c r="D450" s="56" t="n"/>
      <c r="E450" s="57" t="n"/>
      <c r="F450" s="56" t="n"/>
      <c r="G450" s="53">
        <f>IF(B450&lt;&gt;"",TEXT(B450,"mmm yyyy"),"–")</f>
        <v/>
      </c>
    </row>
    <row r="451" ht="19" customHeight="1">
      <c r="B451" s="54" t="n"/>
      <c r="C451" s="54" t="n"/>
      <c r="D451" s="54" t="n"/>
      <c r="E451" s="55" t="n"/>
      <c r="F451" s="54" t="n"/>
      <c r="G451" s="51">
        <f>IF(B451&lt;&gt;"",TEXT(B451,"mmm yyyy"),"–")</f>
        <v/>
      </c>
    </row>
    <row r="452" ht="19" customHeight="1">
      <c r="B452" s="56" t="n"/>
      <c r="C452" s="56" t="n"/>
      <c r="D452" s="56" t="n"/>
      <c r="E452" s="57" t="n"/>
      <c r="F452" s="56" t="n"/>
      <c r="G452" s="53">
        <f>IF(B452&lt;&gt;"",TEXT(B452,"mmm yyyy"),"–")</f>
        <v/>
      </c>
    </row>
    <row r="453" ht="19" customHeight="1">
      <c r="B453" s="54" t="n"/>
      <c r="C453" s="54" t="n"/>
      <c r="D453" s="54" t="n"/>
      <c r="E453" s="55" t="n"/>
      <c r="F453" s="54" t="n"/>
      <c r="G453" s="51">
        <f>IF(B453&lt;&gt;"",TEXT(B453,"mmm yyyy"),"–")</f>
        <v/>
      </c>
    </row>
    <row r="454" ht="19" customHeight="1">
      <c r="B454" s="56" t="n"/>
      <c r="C454" s="56" t="n"/>
      <c r="D454" s="56" t="n"/>
      <c r="E454" s="57" t="n"/>
      <c r="F454" s="56" t="n"/>
      <c r="G454" s="53">
        <f>IF(B454&lt;&gt;"",TEXT(B454,"mmm yyyy"),"–")</f>
        <v/>
      </c>
    </row>
    <row r="455" ht="19" customHeight="1">
      <c r="B455" s="54" t="n"/>
      <c r="C455" s="54" t="n"/>
      <c r="D455" s="54" t="n"/>
      <c r="E455" s="55" t="n"/>
      <c r="F455" s="54" t="n"/>
      <c r="G455" s="51">
        <f>IF(B455&lt;&gt;"",TEXT(B455,"mmm yyyy"),"–")</f>
        <v/>
      </c>
    </row>
    <row r="456" ht="19" customHeight="1">
      <c r="B456" s="56" t="n"/>
      <c r="C456" s="56" t="n"/>
      <c r="D456" s="56" t="n"/>
      <c r="E456" s="57" t="n"/>
      <c r="F456" s="56" t="n"/>
      <c r="G456" s="53">
        <f>IF(B456&lt;&gt;"",TEXT(B456,"mmm yyyy"),"–")</f>
        <v/>
      </c>
    </row>
    <row r="457" ht="19" customHeight="1">
      <c r="B457" s="54" t="n"/>
      <c r="C457" s="54" t="n"/>
      <c r="D457" s="54" t="n"/>
      <c r="E457" s="55" t="n"/>
      <c r="F457" s="54" t="n"/>
      <c r="G457" s="51">
        <f>IF(B457&lt;&gt;"",TEXT(B457,"mmm yyyy"),"–")</f>
        <v/>
      </c>
    </row>
    <row r="458" ht="19" customHeight="1">
      <c r="B458" s="56" t="n"/>
      <c r="C458" s="56" t="n"/>
      <c r="D458" s="56" t="n"/>
      <c r="E458" s="57" t="n"/>
      <c r="F458" s="56" t="n"/>
      <c r="G458" s="53">
        <f>IF(B458&lt;&gt;"",TEXT(B458,"mmm yyyy"),"–")</f>
        <v/>
      </c>
    </row>
    <row r="459" ht="19" customHeight="1">
      <c r="B459" s="54" t="n"/>
      <c r="C459" s="54" t="n"/>
      <c r="D459" s="54" t="n"/>
      <c r="E459" s="55" t="n"/>
      <c r="F459" s="54" t="n"/>
      <c r="G459" s="51">
        <f>IF(B459&lt;&gt;"",TEXT(B459,"mmm yyyy"),"–")</f>
        <v/>
      </c>
    </row>
    <row r="460" ht="19" customHeight="1">
      <c r="B460" s="56" t="n"/>
      <c r="C460" s="56" t="n"/>
      <c r="D460" s="56" t="n"/>
      <c r="E460" s="57" t="n"/>
      <c r="F460" s="56" t="n"/>
      <c r="G460" s="53">
        <f>IF(B460&lt;&gt;"",TEXT(B460,"mmm yyyy"),"–")</f>
        <v/>
      </c>
    </row>
    <row r="461" ht="19" customHeight="1">
      <c r="B461" s="54" t="n"/>
      <c r="C461" s="54" t="n"/>
      <c r="D461" s="54" t="n"/>
      <c r="E461" s="55" t="n"/>
      <c r="F461" s="54" t="n"/>
      <c r="G461" s="51">
        <f>IF(B461&lt;&gt;"",TEXT(B461,"mmm yyyy"),"–")</f>
        <v/>
      </c>
    </row>
    <row r="462" ht="19" customHeight="1">
      <c r="B462" s="56" t="n"/>
      <c r="C462" s="56" t="n"/>
      <c r="D462" s="56" t="n"/>
      <c r="E462" s="57" t="n"/>
      <c r="F462" s="56" t="n"/>
      <c r="G462" s="53">
        <f>IF(B462&lt;&gt;"",TEXT(B462,"mmm yyyy"),"–")</f>
        <v/>
      </c>
    </row>
    <row r="463" ht="19" customHeight="1">
      <c r="B463" s="54" t="n"/>
      <c r="C463" s="54" t="n"/>
      <c r="D463" s="54" t="n"/>
      <c r="E463" s="55" t="n"/>
      <c r="F463" s="54" t="n"/>
      <c r="G463" s="51">
        <f>IF(B463&lt;&gt;"",TEXT(B463,"mmm yyyy"),"–")</f>
        <v/>
      </c>
    </row>
    <row r="464" ht="19" customHeight="1">
      <c r="B464" s="56" t="n"/>
      <c r="C464" s="56" t="n"/>
      <c r="D464" s="56" t="n"/>
      <c r="E464" s="57" t="n"/>
      <c r="F464" s="56" t="n"/>
      <c r="G464" s="53">
        <f>IF(B464&lt;&gt;"",TEXT(B464,"mmm yyyy"),"–")</f>
        <v/>
      </c>
    </row>
    <row r="465" ht="19" customHeight="1">
      <c r="B465" s="54" t="n"/>
      <c r="C465" s="54" t="n"/>
      <c r="D465" s="54" t="n"/>
      <c r="E465" s="55" t="n"/>
      <c r="F465" s="54" t="n"/>
      <c r="G465" s="51">
        <f>IF(B465&lt;&gt;"",TEXT(B465,"mmm yyyy"),"–")</f>
        <v/>
      </c>
    </row>
    <row r="466" ht="19" customHeight="1">
      <c r="B466" s="56" t="n"/>
      <c r="C466" s="56" t="n"/>
      <c r="D466" s="56" t="n"/>
      <c r="E466" s="57" t="n"/>
      <c r="F466" s="56" t="n"/>
      <c r="G466" s="53">
        <f>IF(B466&lt;&gt;"",TEXT(B466,"mmm yyyy"),"–")</f>
        <v/>
      </c>
    </row>
    <row r="467" ht="19" customHeight="1">
      <c r="B467" s="54" t="n"/>
      <c r="C467" s="54" t="n"/>
      <c r="D467" s="54" t="n"/>
      <c r="E467" s="55" t="n"/>
      <c r="F467" s="54" t="n"/>
      <c r="G467" s="51">
        <f>IF(B467&lt;&gt;"",TEXT(B467,"mmm yyyy"),"–")</f>
        <v/>
      </c>
    </row>
    <row r="468" ht="19" customHeight="1">
      <c r="B468" s="56" t="n"/>
      <c r="C468" s="56" t="n"/>
      <c r="D468" s="56" t="n"/>
      <c r="E468" s="57" t="n"/>
      <c r="F468" s="56" t="n"/>
      <c r="G468" s="53">
        <f>IF(B468&lt;&gt;"",TEXT(B468,"mmm yyyy"),"–")</f>
        <v/>
      </c>
    </row>
    <row r="469" ht="19" customHeight="1">
      <c r="B469" s="54" t="n"/>
      <c r="C469" s="54" t="n"/>
      <c r="D469" s="54" t="n"/>
      <c r="E469" s="55" t="n"/>
      <c r="F469" s="54" t="n"/>
      <c r="G469" s="51">
        <f>IF(B469&lt;&gt;"",TEXT(B469,"mmm yyyy"),"–")</f>
        <v/>
      </c>
    </row>
    <row r="470" ht="19" customHeight="1">
      <c r="B470" s="56" t="n"/>
      <c r="C470" s="56" t="n"/>
      <c r="D470" s="56" t="n"/>
      <c r="E470" s="57" t="n"/>
      <c r="F470" s="56" t="n"/>
      <c r="G470" s="53">
        <f>IF(B470&lt;&gt;"",TEXT(B470,"mmm yyyy"),"–")</f>
        <v/>
      </c>
    </row>
    <row r="471" ht="19" customHeight="1">
      <c r="B471" s="54" t="n"/>
      <c r="C471" s="54" t="n"/>
      <c r="D471" s="54" t="n"/>
      <c r="E471" s="55" t="n"/>
      <c r="F471" s="54" t="n"/>
      <c r="G471" s="51">
        <f>IF(B471&lt;&gt;"",TEXT(B471,"mmm yyyy"),"–")</f>
        <v/>
      </c>
    </row>
    <row r="472" ht="19" customHeight="1">
      <c r="B472" s="56" t="n"/>
      <c r="C472" s="56" t="n"/>
      <c r="D472" s="56" t="n"/>
      <c r="E472" s="57" t="n"/>
      <c r="F472" s="56" t="n"/>
      <c r="G472" s="53">
        <f>IF(B472&lt;&gt;"",TEXT(B472,"mmm yyyy"),"–")</f>
        <v/>
      </c>
    </row>
    <row r="473" ht="19" customHeight="1">
      <c r="B473" s="54" t="n"/>
      <c r="C473" s="54" t="n"/>
      <c r="D473" s="54" t="n"/>
      <c r="E473" s="55" t="n"/>
      <c r="F473" s="54" t="n"/>
      <c r="G473" s="51">
        <f>IF(B473&lt;&gt;"",TEXT(B473,"mmm yyyy"),"–")</f>
        <v/>
      </c>
    </row>
    <row r="474" ht="19" customHeight="1">
      <c r="B474" s="56" t="n"/>
      <c r="C474" s="56" t="n"/>
      <c r="D474" s="56" t="n"/>
      <c r="E474" s="57" t="n"/>
      <c r="F474" s="56" t="n"/>
      <c r="G474" s="53">
        <f>IF(B474&lt;&gt;"",TEXT(B474,"mmm yyyy"),"–")</f>
        <v/>
      </c>
    </row>
    <row r="475" ht="19" customHeight="1">
      <c r="B475" s="54" t="n"/>
      <c r="C475" s="54" t="n"/>
      <c r="D475" s="54" t="n"/>
      <c r="E475" s="55" t="n"/>
      <c r="F475" s="54" t="n"/>
      <c r="G475" s="51">
        <f>IF(B475&lt;&gt;"",TEXT(B475,"mmm yyyy"),"–")</f>
        <v/>
      </c>
    </row>
    <row r="476" ht="19" customHeight="1">
      <c r="B476" s="56" t="n"/>
      <c r="C476" s="56" t="n"/>
      <c r="D476" s="56" t="n"/>
      <c r="E476" s="57" t="n"/>
      <c r="F476" s="56" t="n"/>
      <c r="G476" s="53">
        <f>IF(B476&lt;&gt;"",TEXT(B476,"mmm yyyy"),"–")</f>
        <v/>
      </c>
    </row>
    <row r="477" ht="19" customHeight="1">
      <c r="B477" s="54" t="n"/>
      <c r="C477" s="54" t="n"/>
      <c r="D477" s="54" t="n"/>
      <c r="E477" s="55" t="n"/>
      <c r="F477" s="54" t="n"/>
      <c r="G477" s="51">
        <f>IF(B477&lt;&gt;"",TEXT(B477,"mmm yyyy"),"–")</f>
        <v/>
      </c>
    </row>
    <row r="478" ht="19" customHeight="1">
      <c r="B478" s="56" t="n"/>
      <c r="C478" s="56" t="n"/>
      <c r="D478" s="56" t="n"/>
      <c r="E478" s="57" t="n"/>
      <c r="F478" s="56" t="n"/>
      <c r="G478" s="53">
        <f>IF(B478&lt;&gt;"",TEXT(B478,"mmm yyyy"),"–")</f>
        <v/>
      </c>
    </row>
    <row r="479" ht="19" customHeight="1">
      <c r="B479" s="54" t="n"/>
      <c r="C479" s="54" t="n"/>
      <c r="D479" s="54" t="n"/>
      <c r="E479" s="55" t="n"/>
      <c r="F479" s="54" t="n"/>
      <c r="G479" s="51">
        <f>IF(B479&lt;&gt;"",TEXT(B479,"mmm yyyy"),"–")</f>
        <v/>
      </c>
    </row>
    <row r="480" ht="19" customHeight="1">
      <c r="B480" s="56" t="n"/>
      <c r="C480" s="56" t="n"/>
      <c r="D480" s="56" t="n"/>
      <c r="E480" s="57" t="n"/>
      <c r="F480" s="56" t="n"/>
      <c r="G480" s="53">
        <f>IF(B480&lt;&gt;"",TEXT(B480,"mmm yyyy"),"–")</f>
        <v/>
      </c>
    </row>
    <row r="481" ht="19" customHeight="1">
      <c r="B481" s="54" t="n"/>
      <c r="C481" s="54" t="n"/>
      <c r="D481" s="54" t="n"/>
      <c r="E481" s="55" t="n"/>
      <c r="F481" s="54" t="n"/>
      <c r="G481" s="51">
        <f>IF(B481&lt;&gt;"",TEXT(B481,"mmm yyyy"),"–")</f>
        <v/>
      </c>
    </row>
    <row r="482" ht="19" customHeight="1">
      <c r="B482" s="56" t="n"/>
      <c r="C482" s="56" t="n"/>
      <c r="D482" s="56" t="n"/>
      <c r="E482" s="57" t="n"/>
      <c r="F482" s="56" t="n"/>
      <c r="G482" s="53">
        <f>IF(B482&lt;&gt;"",TEXT(B482,"mmm yyyy"),"–")</f>
        <v/>
      </c>
    </row>
    <row r="483" ht="19" customHeight="1">
      <c r="B483" s="54" t="n"/>
      <c r="C483" s="54" t="n"/>
      <c r="D483" s="54" t="n"/>
      <c r="E483" s="55" t="n"/>
      <c r="F483" s="54" t="n"/>
      <c r="G483" s="51">
        <f>IF(B483&lt;&gt;"",TEXT(B483,"mmm yyyy"),"–")</f>
        <v/>
      </c>
    </row>
    <row r="484" ht="19" customHeight="1">
      <c r="B484" s="56" t="n"/>
      <c r="C484" s="56" t="n"/>
      <c r="D484" s="56" t="n"/>
      <c r="E484" s="57" t="n"/>
      <c r="F484" s="56" t="n"/>
      <c r="G484" s="53">
        <f>IF(B484&lt;&gt;"",TEXT(B484,"mmm yyyy"),"–")</f>
        <v/>
      </c>
    </row>
    <row r="485" ht="19" customHeight="1">
      <c r="B485" s="54" t="n"/>
      <c r="C485" s="54" t="n"/>
      <c r="D485" s="54" t="n"/>
      <c r="E485" s="55" t="n"/>
      <c r="F485" s="54" t="n"/>
      <c r="G485" s="51">
        <f>IF(B485&lt;&gt;"",TEXT(B485,"mmm yyyy"),"–")</f>
        <v/>
      </c>
    </row>
    <row r="486" ht="19" customHeight="1">
      <c r="B486" s="56" t="n"/>
      <c r="C486" s="56" t="n"/>
      <c r="D486" s="56" t="n"/>
      <c r="E486" s="57" t="n"/>
      <c r="F486" s="56" t="n"/>
      <c r="G486" s="53">
        <f>IF(B486&lt;&gt;"",TEXT(B486,"mmm yyyy"),"–")</f>
        <v/>
      </c>
    </row>
    <row r="487" ht="19" customHeight="1">
      <c r="B487" s="54" t="n"/>
      <c r="C487" s="54" t="n"/>
      <c r="D487" s="54" t="n"/>
      <c r="E487" s="55" t="n"/>
      <c r="F487" s="54" t="n"/>
      <c r="G487" s="51">
        <f>IF(B487&lt;&gt;"",TEXT(B487,"mmm yyyy"),"–")</f>
        <v/>
      </c>
    </row>
    <row r="488" ht="19" customHeight="1">
      <c r="B488" s="56" t="n"/>
      <c r="C488" s="56" t="n"/>
      <c r="D488" s="56" t="n"/>
      <c r="E488" s="57" t="n"/>
      <c r="F488" s="56" t="n"/>
      <c r="G488" s="53">
        <f>IF(B488&lt;&gt;"",TEXT(B488,"mmm yyyy"),"–")</f>
        <v/>
      </c>
    </row>
    <row r="489" ht="19" customHeight="1">
      <c r="B489" s="54" t="n"/>
      <c r="C489" s="54" t="n"/>
      <c r="D489" s="54" t="n"/>
      <c r="E489" s="55" t="n"/>
      <c r="F489" s="54" t="n"/>
      <c r="G489" s="51">
        <f>IF(B489&lt;&gt;"",TEXT(B489,"mmm yyyy"),"–")</f>
        <v/>
      </c>
    </row>
    <row r="490" ht="19" customHeight="1">
      <c r="B490" s="56" t="n"/>
      <c r="C490" s="56" t="n"/>
      <c r="D490" s="56" t="n"/>
      <c r="E490" s="57" t="n"/>
      <c r="F490" s="56" t="n"/>
      <c r="G490" s="53">
        <f>IF(B490&lt;&gt;"",TEXT(B490,"mmm yyyy"),"–")</f>
        <v/>
      </c>
    </row>
    <row r="491" ht="19" customHeight="1">
      <c r="B491" s="54" t="n"/>
      <c r="C491" s="54" t="n"/>
      <c r="D491" s="54" t="n"/>
      <c r="E491" s="55" t="n"/>
      <c r="F491" s="54" t="n"/>
      <c r="G491" s="51">
        <f>IF(B491&lt;&gt;"",TEXT(B491,"mmm yyyy"),"–")</f>
        <v/>
      </c>
    </row>
    <row r="492" ht="19" customHeight="1">
      <c r="B492" s="56" t="n"/>
      <c r="C492" s="56" t="n"/>
      <c r="D492" s="56" t="n"/>
      <c r="E492" s="57" t="n"/>
      <c r="F492" s="56" t="n"/>
      <c r="G492" s="53">
        <f>IF(B492&lt;&gt;"",TEXT(B492,"mmm yyyy"),"–")</f>
        <v/>
      </c>
    </row>
    <row r="493" ht="19" customHeight="1">
      <c r="B493" s="54" t="n"/>
      <c r="C493" s="54" t="n"/>
      <c r="D493" s="54" t="n"/>
      <c r="E493" s="55" t="n"/>
      <c r="F493" s="54" t="n"/>
      <c r="G493" s="51">
        <f>IF(B493&lt;&gt;"",TEXT(B493,"mmm yyyy"),"–")</f>
        <v/>
      </c>
    </row>
    <row r="494" ht="19" customHeight="1">
      <c r="B494" s="56" t="n"/>
      <c r="C494" s="56" t="n"/>
      <c r="D494" s="56" t="n"/>
      <c r="E494" s="57" t="n"/>
      <c r="F494" s="56" t="n"/>
      <c r="G494" s="53">
        <f>IF(B494&lt;&gt;"",TEXT(B494,"mmm yyyy"),"–")</f>
        <v/>
      </c>
    </row>
    <row r="495" ht="19" customHeight="1">
      <c r="B495" s="54" t="n"/>
      <c r="C495" s="54" t="n"/>
      <c r="D495" s="54" t="n"/>
      <c r="E495" s="55" t="n"/>
      <c r="F495" s="54" t="n"/>
      <c r="G495" s="51">
        <f>IF(B495&lt;&gt;"",TEXT(B495,"mmm yyyy"),"–")</f>
        <v/>
      </c>
    </row>
    <row r="496" ht="19" customHeight="1">
      <c r="B496" s="56" t="n"/>
      <c r="C496" s="56" t="n"/>
      <c r="D496" s="56" t="n"/>
      <c r="E496" s="57" t="n"/>
      <c r="F496" s="56" t="n"/>
      <c r="G496" s="53">
        <f>IF(B496&lt;&gt;"",TEXT(B496,"mmm yyyy"),"–")</f>
        <v/>
      </c>
    </row>
    <row r="497" ht="19" customHeight="1">
      <c r="B497" s="54" t="n"/>
      <c r="C497" s="54" t="n"/>
      <c r="D497" s="54" t="n"/>
      <c r="E497" s="55" t="n"/>
      <c r="F497" s="54" t="n"/>
      <c r="G497" s="51">
        <f>IF(B497&lt;&gt;"",TEXT(B497,"mmm yyyy"),"–")</f>
        <v/>
      </c>
    </row>
    <row r="498" ht="19" customHeight="1">
      <c r="B498" s="56" t="n"/>
      <c r="C498" s="56" t="n"/>
      <c r="D498" s="56" t="n"/>
      <c r="E498" s="57" t="n"/>
      <c r="F498" s="56" t="n"/>
      <c r="G498" s="53">
        <f>IF(B498&lt;&gt;"",TEXT(B498,"mmm yyyy"),"–")</f>
        <v/>
      </c>
    </row>
    <row r="499" ht="19" customHeight="1">
      <c r="B499" s="54" t="n"/>
      <c r="C499" s="54" t="n"/>
      <c r="D499" s="54" t="n"/>
      <c r="E499" s="55" t="n"/>
      <c r="F499" s="54" t="n"/>
      <c r="G499" s="51">
        <f>IF(B499&lt;&gt;"",TEXT(B499,"mmm yyyy"),"–")</f>
        <v/>
      </c>
    </row>
    <row r="500" ht="19" customHeight="1">
      <c r="B500" s="56" t="n"/>
      <c r="C500" s="56" t="n"/>
      <c r="D500" s="56" t="n"/>
      <c r="E500" s="57" t="n"/>
      <c r="F500" s="56" t="n"/>
      <c r="G500" s="53">
        <f>IF(B500&lt;&gt;"",TEXT(B500,"mmm yyyy"),"–")</f>
        <v/>
      </c>
    </row>
    <row r="501" ht="19" customHeight="1">
      <c r="B501" s="54" t="n"/>
      <c r="C501" s="54" t="n"/>
      <c r="D501" s="54" t="n"/>
      <c r="E501" s="55" t="n"/>
      <c r="F501" s="54" t="n"/>
      <c r="G501" s="51">
        <f>IF(B501&lt;&gt;"",TEXT(B501,"mmm yyyy"),"–")</f>
        <v/>
      </c>
    </row>
    <row r="502" ht="19" customHeight="1">
      <c r="B502" s="56" t="n"/>
      <c r="C502" s="56" t="n"/>
      <c r="D502" s="56" t="n"/>
      <c r="E502" s="57" t="n"/>
      <c r="F502" s="56" t="n"/>
      <c r="G502" s="53">
        <f>IF(B502&lt;&gt;"",TEXT(B502,"mmm yyyy"),"–")</f>
        <v/>
      </c>
    </row>
    <row r="503" ht="19" customHeight="1">
      <c r="B503" s="54" t="n"/>
      <c r="C503" s="54" t="n"/>
      <c r="D503" s="54" t="n"/>
      <c r="E503" s="55" t="n"/>
      <c r="F503" s="54" t="n"/>
      <c r="G503" s="51">
        <f>IF(B503&lt;&gt;"",TEXT(B503,"mmm yyyy"),"–")</f>
        <v/>
      </c>
    </row>
    <row r="504" ht="19" customHeight="1">
      <c r="B504" s="56" t="n"/>
      <c r="C504" s="56" t="n"/>
      <c r="D504" s="56" t="n"/>
      <c r="E504" s="57" t="n"/>
      <c r="F504" s="56" t="n"/>
      <c r="G504" s="53">
        <f>IF(B504&lt;&gt;"",TEXT(B504,"mmm yyyy"),"–")</f>
        <v/>
      </c>
    </row>
  </sheetData>
  <mergeCells count="3">
    <mergeCell ref="F3:G3"/>
    <mergeCell ref="B2:G2"/>
    <mergeCell ref="B3:D3"/>
  </mergeCells>
  <dataValidations count="2">
    <dataValidation sqref="C5:C504" showDropDown="0" showInputMessage="0" showErrorMessage="0" allowBlank="1" type="list">
      <formula1>"Mâncare &amp; Băuturi,Cumpărături,Sănătate &amp; Farmacie,Haine &amp; Încălțăminte,Cadouri,Restaurante &amp; Cafenele,Divertisment &amp; Gaming,Tehnologie &amp; Gadgeturi,Educație &amp; Cursuri,Transport,Rate &amp; Credite,Telefonie,Abonamente,Diverse"</formula1>
    </dataValidation>
    <dataValidation sqref="F5:F504" showDropDown="0" showInputMessage="0" showErrorMessage="0" allowBlank="1" type="list">
      <formula1>"Card,Cash,Transfer,Revolut,Alte"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B2:F20"/>
  <sheetViews>
    <sheetView showGridLines="0" zoomScale="95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0" customWidth="1" min="4" max="4"/>
    <col width="16" customWidth="1" min="5" max="5"/>
    <col width="16" customWidth="1" min="6" max="6"/>
    <col width="3" customWidth="1" min="7" max="7"/>
  </cols>
  <sheetData>
    <row r="1" ht="8" customHeight="1"/>
    <row r="2" ht="30" customHeight="1">
      <c r="B2" s="46" t="inlineStr">
        <is>
          <t>📊 RAPORT CHELTUIELI PE CATEGORII</t>
        </is>
      </c>
    </row>
    <row r="3" ht="8" customHeight="1"/>
    <row r="4">
      <c r="B4" s="58" t="inlineStr">
        <is>
          <t>Totaluri calculate automat din Jurnalul de Cheltuieli</t>
        </is>
      </c>
    </row>
    <row r="5">
      <c r="B5" s="3" t="inlineStr">
        <is>
          <t>Categorie</t>
        </is>
      </c>
      <c r="C5" s="3" t="inlineStr">
        <is>
          <t>Cheltuit (lei)</t>
        </is>
      </c>
      <c r="D5" s="3" t="inlineStr">
        <is>
          <t>% din Total</t>
        </is>
      </c>
      <c r="E5" s="3" t="inlineStr">
        <is>
          <t>Buget Alocat</t>
        </is>
      </c>
      <c r="F5" s="3" t="inlineStr">
        <is>
          <t>Diferență</t>
        </is>
      </c>
    </row>
    <row r="6" ht="20" customHeight="1">
      <c r="B6" s="59" t="inlineStr">
        <is>
          <t>Mâncare &amp; Băuturi</t>
        </is>
      </c>
      <c r="C6" s="5">
        <f>SUMPRODUCT(('📝 Cheltuieli'!C5:C504=B6)*'📝 Cheltuieli'!E5:E504)</f>
        <v/>
      </c>
      <c r="D6" s="60">
        <f>IF(C22&gt;0,C6/C22,0)</f>
        <v/>
      </c>
      <c r="E6" s="5" t="n">
        <v>900</v>
      </c>
      <c r="F6" s="5">
        <f>IF(E6&gt;0,E6-C6,"")</f>
        <v/>
      </c>
    </row>
    <row r="7" ht="20" customHeight="1">
      <c r="B7" s="61" t="inlineStr">
        <is>
          <t>Cumpărături</t>
        </is>
      </c>
      <c r="C7" s="10">
        <f>SUMPRODUCT(('📝 Cheltuieli'!C5:C504=B7)*'📝 Cheltuieli'!E5:E504)</f>
        <v/>
      </c>
      <c r="D7" s="62">
        <f>IF(C23&gt;0,C7/C23,0)</f>
        <v/>
      </c>
      <c r="E7" s="10" t="n">
        <v>0</v>
      </c>
      <c r="F7" s="10">
        <f>IF(E7&gt;0,E7-C7,"")</f>
        <v/>
      </c>
    </row>
    <row r="8" ht="20" customHeight="1">
      <c r="B8" s="59" t="inlineStr">
        <is>
          <t>Sănătate &amp; Farmacie</t>
        </is>
      </c>
      <c r="C8" s="5">
        <f>SUMPRODUCT(('📝 Cheltuieli'!C5:C504=B8)*'📝 Cheltuieli'!E5:E504)</f>
        <v/>
      </c>
      <c r="D8" s="60">
        <f>IF(C24&gt;0,C8/C24,0)</f>
        <v/>
      </c>
      <c r="E8" s="5" t="n">
        <v>0</v>
      </c>
      <c r="F8" s="5">
        <f>IF(E8&gt;0,E8-C8,"")</f>
        <v/>
      </c>
    </row>
    <row r="9" ht="20" customHeight="1">
      <c r="B9" s="61" t="inlineStr">
        <is>
          <t>Haine &amp; Încălțăminte</t>
        </is>
      </c>
      <c r="C9" s="10">
        <f>SUMPRODUCT(('📝 Cheltuieli'!C5:C504=B9)*'📝 Cheltuieli'!E5:E504)</f>
        <v/>
      </c>
      <c r="D9" s="62">
        <f>IF(C25&gt;0,C9/C25,0)</f>
        <v/>
      </c>
      <c r="E9" s="10" t="n">
        <v>0</v>
      </c>
      <c r="F9" s="10">
        <f>IF(E9&gt;0,E9-C9,"")</f>
        <v/>
      </c>
    </row>
    <row r="10" ht="20" customHeight="1">
      <c r="B10" s="59" t="inlineStr">
        <is>
          <t>Cadouri</t>
        </is>
      </c>
      <c r="C10" s="5">
        <f>SUMPRODUCT(('📝 Cheltuieli'!C5:C504=B10)*'📝 Cheltuieli'!E5:E504)</f>
        <v/>
      </c>
      <c r="D10" s="60">
        <f>IF(C26&gt;0,C10/C26,0)</f>
        <v/>
      </c>
      <c r="E10" s="5" t="n">
        <v>0</v>
      </c>
      <c r="F10" s="5">
        <f>IF(E10&gt;0,E10-C10,"")</f>
        <v/>
      </c>
    </row>
    <row r="11" ht="20" customHeight="1">
      <c r="B11" s="61" t="inlineStr">
        <is>
          <t>Restaurante &amp; Cafenele</t>
        </is>
      </c>
      <c r="C11" s="10">
        <f>SUMPRODUCT(('📝 Cheltuieli'!C5:C504=B11)*'📝 Cheltuieli'!E5:E504)</f>
        <v/>
      </c>
      <c r="D11" s="62">
        <f>IF(C27&gt;0,C11/C27,0)</f>
        <v/>
      </c>
      <c r="E11" s="10" t="n">
        <v>0</v>
      </c>
      <c r="F11" s="10">
        <f>IF(E11&gt;0,E11-C11,"")</f>
        <v/>
      </c>
    </row>
    <row r="12" ht="20" customHeight="1">
      <c r="B12" s="59" t="inlineStr">
        <is>
          <t>Divertisment &amp; Gaming</t>
        </is>
      </c>
      <c r="C12" s="5">
        <f>SUMPRODUCT(('📝 Cheltuieli'!C5:C504=B12)*'📝 Cheltuieli'!E5:E504)</f>
        <v/>
      </c>
      <c r="D12" s="60">
        <f>IF(C28&gt;0,C12/C28,0)</f>
        <v/>
      </c>
      <c r="E12" s="5" t="n">
        <v>0</v>
      </c>
      <c r="F12" s="5">
        <f>IF(E12&gt;0,E12-C12,"")</f>
        <v/>
      </c>
    </row>
    <row r="13" ht="20" customHeight="1">
      <c r="B13" s="61" t="inlineStr">
        <is>
          <t>Tehnologie &amp; Gadgeturi</t>
        </is>
      </c>
      <c r="C13" s="10">
        <f>SUMPRODUCT(('📝 Cheltuieli'!C5:C504=B13)*'📝 Cheltuieli'!E5:E504)</f>
        <v/>
      </c>
      <c r="D13" s="62">
        <f>IF(C29&gt;0,C13/C29,0)</f>
        <v/>
      </c>
      <c r="E13" s="10" t="n">
        <v>0</v>
      </c>
      <c r="F13" s="10">
        <f>IF(E13&gt;0,E13-C13,"")</f>
        <v/>
      </c>
    </row>
    <row r="14" ht="20" customHeight="1">
      <c r="B14" s="59" t="inlineStr">
        <is>
          <t>Educație &amp; Cursuri</t>
        </is>
      </c>
      <c r="C14" s="5">
        <f>SUMPRODUCT(('📝 Cheltuieli'!C5:C504=B14)*'📝 Cheltuieli'!E5:E504)</f>
        <v/>
      </c>
      <c r="D14" s="60">
        <f>IF(C30&gt;0,C14/C30,0)</f>
        <v/>
      </c>
      <c r="E14" s="5" t="n">
        <v>0</v>
      </c>
      <c r="F14" s="5">
        <f>IF(E14&gt;0,E14-C14,"")</f>
        <v/>
      </c>
    </row>
    <row r="15" ht="20" customHeight="1">
      <c r="B15" s="61" t="inlineStr">
        <is>
          <t>Transport</t>
        </is>
      </c>
      <c r="C15" s="10">
        <f>SUMPRODUCT(('📝 Cheltuieli'!C5:C504=B15)*'📝 Cheltuieli'!E5:E504)</f>
        <v/>
      </c>
      <c r="D15" s="62">
        <f>IF(C31&gt;0,C15/C31,0)</f>
        <v/>
      </c>
      <c r="E15" s="10" t="n">
        <v>160</v>
      </c>
      <c r="F15" s="10">
        <f>IF(E15&gt;0,E15-C15,"")</f>
        <v/>
      </c>
    </row>
    <row r="16" ht="20" customHeight="1">
      <c r="B16" s="59" t="inlineStr">
        <is>
          <t>Rate &amp; Credite</t>
        </is>
      </c>
      <c r="C16" s="5">
        <f>SUMPRODUCT(('📝 Cheltuieli'!C5:C504=B16)*'📝 Cheltuieli'!E5:E504)</f>
        <v/>
      </c>
      <c r="D16" s="60">
        <f>IF(C32&gt;0,C16/C32,0)</f>
        <v/>
      </c>
      <c r="E16" s="5" t="n">
        <v>2371</v>
      </c>
      <c r="F16" s="5">
        <f>IF(E16&gt;0,E16-C16,"")</f>
        <v/>
      </c>
    </row>
    <row r="17" ht="20" customHeight="1">
      <c r="B17" s="61" t="inlineStr">
        <is>
          <t>Telefonie</t>
        </is>
      </c>
      <c r="C17" s="10">
        <f>SUMPRODUCT(('📝 Cheltuieli'!C5:C504=B17)*'📝 Cheltuieli'!E5:E504)</f>
        <v/>
      </c>
      <c r="D17" s="62">
        <f>IF(C33&gt;0,C17/C33,0)</f>
        <v/>
      </c>
      <c r="E17" s="10" t="n">
        <v>917</v>
      </c>
      <c r="F17" s="10">
        <f>IF(E17&gt;0,E17-C17,"")</f>
        <v/>
      </c>
    </row>
    <row r="18" ht="20" customHeight="1">
      <c r="B18" s="59" t="inlineStr">
        <is>
          <t>Abonamente</t>
        </is>
      </c>
      <c r="C18" s="5">
        <f>SUMPRODUCT(('📝 Cheltuieli'!C5:C504=B18)*'📝 Cheltuieli'!E5:E504)</f>
        <v/>
      </c>
      <c r="D18" s="60">
        <f>IF(C34&gt;0,C18/C34,0)</f>
        <v/>
      </c>
      <c r="E18" s="5" t="n">
        <v>0</v>
      </c>
      <c r="F18" s="5">
        <f>IF(E18&gt;0,E18-C18,"")</f>
        <v/>
      </c>
    </row>
    <row r="19" ht="20" customHeight="1">
      <c r="B19" s="61" t="inlineStr">
        <is>
          <t>Diverse</t>
        </is>
      </c>
      <c r="C19" s="10">
        <f>SUMPRODUCT(('📝 Cheltuieli'!C5:C504=B19)*'📝 Cheltuieli'!E5:E504)</f>
        <v/>
      </c>
      <c r="D19" s="62">
        <f>IF(C35&gt;0,C19/C35,0)</f>
        <v/>
      </c>
      <c r="E19" s="10" t="n">
        <v>200</v>
      </c>
      <c r="F19" s="10">
        <f>IF(E19&gt;0,E19-C19,"")</f>
        <v/>
      </c>
    </row>
    <row r="20" ht="22" customHeight="1">
      <c r="B20" s="63" t="inlineStr">
        <is>
          <t>TOTAL</t>
        </is>
      </c>
      <c r="C20" s="64">
        <f>SUM(C6:C19)</f>
        <v/>
      </c>
      <c r="D20" s="65">
        <f>SUM(D6:D19)</f>
        <v/>
      </c>
      <c r="E20" s="64">
        <f>SUM(E6:E19)</f>
        <v/>
      </c>
      <c r="F20" s="64">
        <f>SUM(F6:F19)</f>
        <v/>
      </c>
    </row>
  </sheetData>
  <mergeCells count="2">
    <mergeCell ref="B2:F2"/>
    <mergeCell ref="B4:F4"/>
  </mergeCells>
  <conditionalFormatting sqref="F6:F19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2C55E"/>
    <outlinePr summaryBelow="1" summaryRight="1"/>
    <pageSetUpPr/>
  </sheetPr>
  <dimension ref="B2:N18"/>
  <sheetViews>
    <sheetView showGridLines="0" zoomScale="9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</cols>
  <sheetData>
    <row r="1" ht="8" customHeight="1"/>
    <row r="2" ht="30" customHeight="1">
      <c r="B2" s="46" t="inlineStr">
        <is>
          <t>📈 EVOLUȚIE BUGET PE 12 LUNI — 2026</t>
        </is>
      </c>
    </row>
    <row r="3" ht="8" customHeight="1"/>
    <row r="4">
      <c r="B4" s="3" t="inlineStr">
        <is>
          <t>Indicator</t>
        </is>
      </c>
      <c r="C4" s="3" t="inlineStr">
        <is>
          <t>Ian</t>
        </is>
      </c>
      <c r="D4" s="3" t="inlineStr">
        <is>
          <t>Feb</t>
        </is>
      </c>
      <c r="E4" s="3" t="inlineStr">
        <is>
          <t>Mar</t>
        </is>
      </c>
      <c r="F4" s="3" t="inlineStr">
        <is>
          <t>Apr</t>
        </is>
      </c>
      <c r="G4" s="3" t="inlineStr">
        <is>
          <t>Mai</t>
        </is>
      </c>
      <c r="H4" s="3" t="inlineStr">
        <is>
          <t>Iun</t>
        </is>
      </c>
      <c r="I4" s="3" t="inlineStr">
        <is>
          <t>Iul</t>
        </is>
      </c>
      <c r="J4" s="3" t="inlineStr">
        <is>
          <t>Aug</t>
        </is>
      </c>
      <c r="K4" s="3" t="inlineStr">
        <is>
          <t>Sep</t>
        </is>
      </c>
      <c r="L4" s="3" t="inlineStr">
        <is>
          <t>Oct</t>
        </is>
      </c>
      <c r="M4" s="3" t="inlineStr">
        <is>
          <t>Nov</t>
        </is>
      </c>
      <c r="N4" s="3" t="inlineStr">
        <is>
          <t>Dec</t>
        </is>
      </c>
    </row>
    <row r="5" ht="22" customHeight="1">
      <c r="B5" s="66" t="inlineStr">
        <is>
          <t>Venituri</t>
        </is>
      </c>
      <c r="C5" s="67" t="n">
        <v>0</v>
      </c>
      <c r="D5" s="67" t="n">
        <v>0</v>
      </c>
      <c r="E5" s="67" t="n">
        <v>0</v>
      </c>
      <c r="F5" s="67" t="n">
        <v>0</v>
      </c>
      <c r="G5" s="67" t="n">
        <v>0</v>
      </c>
      <c r="H5" s="67" t="n">
        <v>6700</v>
      </c>
      <c r="I5" s="67" t="n">
        <v>6700</v>
      </c>
      <c r="J5" s="67" t="n">
        <v>6700</v>
      </c>
      <c r="K5" s="67" t="n">
        <v>6700</v>
      </c>
      <c r="L5" s="67" t="n">
        <v>6700</v>
      </c>
      <c r="M5" s="67" t="n">
        <v>0</v>
      </c>
      <c r="N5" s="67" t="n">
        <v>0</v>
      </c>
    </row>
    <row r="6" ht="22" customHeight="1">
      <c r="B6" s="68" t="inlineStr">
        <is>
          <t>Cheltuieli Fixe</t>
        </is>
      </c>
      <c r="C6" s="69" t="n">
        <v>0</v>
      </c>
      <c r="D6" s="69" t="n">
        <v>0</v>
      </c>
      <c r="E6" s="69" t="n">
        <v>0</v>
      </c>
      <c r="F6" s="69" t="n">
        <v>0</v>
      </c>
      <c r="G6" s="69" t="n">
        <v>0</v>
      </c>
      <c r="H6" s="69" t="n">
        <v>7755</v>
      </c>
      <c r="I6" s="69" t="n">
        <v>5363</v>
      </c>
      <c r="J6" s="69" t="n">
        <v>4962</v>
      </c>
      <c r="K6" s="69" t="n">
        <v>3672</v>
      </c>
      <c r="L6" s="69" t="n">
        <v>3375</v>
      </c>
      <c r="M6" s="69" t="n">
        <v>0</v>
      </c>
      <c r="N6" s="69" t="n">
        <v>0</v>
      </c>
    </row>
    <row r="7" ht="22" customHeight="1">
      <c r="B7" s="70" t="inlineStr">
        <is>
          <t>Cheltuieli Variabile</t>
        </is>
      </c>
      <c r="C7" s="71" t="n">
        <v>0</v>
      </c>
      <c r="D7" s="71" t="n">
        <v>0</v>
      </c>
      <c r="E7" s="71" t="n">
        <v>0</v>
      </c>
      <c r="F7" s="71" t="n">
        <v>0</v>
      </c>
      <c r="G7" s="71" t="n">
        <v>0</v>
      </c>
      <c r="H7" s="71" t="n">
        <v>100</v>
      </c>
      <c r="I7" s="71" t="n">
        <v>100</v>
      </c>
      <c r="J7" s="71" t="n">
        <v>900</v>
      </c>
      <c r="K7" s="71" t="n">
        <v>900</v>
      </c>
      <c r="L7" s="71" t="n">
        <v>900</v>
      </c>
      <c r="M7" s="71" t="n">
        <v>0</v>
      </c>
      <c r="N7" s="71" t="n">
        <v>0</v>
      </c>
    </row>
    <row r="8" ht="22" customHeight="1">
      <c r="B8" s="72" t="inlineStr">
        <is>
          <t>Total Cheltuieli</t>
        </is>
      </c>
      <c r="C8" s="17">
        <f>C6+C7</f>
        <v/>
      </c>
      <c r="D8" s="17">
        <f>D6+D7</f>
        <v/>
      </c>
      <c r="E8" s="17">
        <f>E6+E7</f>
        <v/>
      </c>
      <c r="F8" s="17">
        <f>F6+F7</f>
        <v/>
      </c>
      <c r="G8" s="17">
        <f>G6+G7</f>
        <v/>
      </c>
      <c r="H8" s="17">
        <f>H6+H7</f>
        <v/>
      </c>
      <c r="I8" s="17">
        <f>I6+I7</f>
        <v/>
      </c>
      <c r="J8" s="17">
        <f>J6+J7</f>
        <v/>
      </c>
      <c r="K8" s="17">
        <f>K6+K7</f>
        <v/>
      </c>
      <c r="L8" s="17">
        <f>L6+L7</f>
        <v/>
      </c>
      <c r="M8" s="17">
        <f>M6+M7</f>
        <v/>
      </c>
      <c r="N8" s="17">
        <f>N6+N7</f>
        <v/>
      </c>
    </row>
    <row r="9" ht="22" customHeight="1">
      <c r="B9" s="73" t="inlineStr">
        <is>
          <t>Sold Rămas</t>
        </is>
      </c>
      <c r="C9" s="19">
        <f>C5-C8</f>
        <v/>
      </c>
      <c r="D9" s="19">
        <f>D5-D8</f>
        <v/>
      </c>
      <c r="E9" s="19">
        <f>E5-E8</f>
        <v/>
      </c>
      <c r="F9" s="19">
        <f>F5-F8</f>
        <v/>
      </c>
      <c r="G9" s="19">
        <f>G5-G8</f>
        <v/>
      </c>
      <c r="H9" s="19">
        <f>H5-H8</f>
        <v/>
      </c>
      <c r="I9" s="19">
        <f>I5-I8</f>
        <v/>
      </c>
      <c r="J9" s="19">
        <f>J5-J8</f>
        <v/>
      </c>
      <c r="K9" s="19">
        <f>K5-K8</f>
        <v/>
      </c>
      <c r="L9" s="19">
        <f>L5-L8</f>
        <v/>
      </c>
      <c r="M9" s="19">
        <f>M5-M8</f>
        <v/>
      </c>
      <c r="N9" s="19">
        <f>N5-N8</f>
        <v/>
      </c>
    </row>
    <row r="10" ht="22" customHeight="1">
      <c r="B10" s="74" t="inlineStr">
        <is>
          <t>% Economisit</t>
        </is>
      </c>
      <c r="C10" s="75">
        <f>IF(C5&gt;0,C9/C5,0)</f>
        <v/>
      </c>
      <c r="D10" s="75">
        <f>IF(D5&gt;0,D9/D5,0)</f>
        <v/>
      </c>
      <c r="E10" s="75">
        <f>IF(E5&gt;0,E9/E5,0)</f>
        <v/>
      </c>
      <c r="F10" s="75">
        <f>IF(F5&gt;0,F9/F5,0)</f>
        <v/>
      </c>
      <c r="G10" s="75">
        <f>IF(G5&gt;0,G9/G5,0)</f>
        <v/>
      </c>
      <c r="H10" s="75">
        <f>IF(H5&gt;0,H9/H5,0)</f>
        <v/>
      </c>
      <c r="I10" s="75">
        <f>IF(I5&gt;0,I9/I5,0)</f>
        <v/>
      </c>
      <c r="J10" s="75">
        <f>IF(J5&gt;0,J9/J5,0)</f>
        <v/>
      </c>
      <c r="K10" s="75">
        <f>IF(K5&gt;0,K9/K5,0)</f>
        <v/>
      </c>
      <c r="L10" s="75">
        <f>IF(L5&gt;0,L9/L5,0)</f>
        <v/>
      </c>
      <c r="M10" s="75">
        <f>IF(M5&gt;0,M9/M5,0)</f>
        <v/>
      </c>
      <c r="N10" s="75">
        <f>IF(N5&gt;0,N9/N5,0)</f>
        <v/>
      </c>
    </row>
    <row r="12" ht="8" customHeight="1"/>
    <row r="13" ht="18" customHeight="1">
      <c r="B13" s="76" t="inlineStr">
        <is>
          <t>🔴 IUN 2026: Lună grea — cheltuieli fixe mari (TBI 1869 + plată Axi 2500). Deficit -1,155 lei.</t>
        </is>
      </c>
    </row>
    <row r="14" ht="18" customHeight="1">
      <c r="B14" s="77" t="inlineStr">
        <is>
          <t>🟡 IUL 2026: TBI scade cu 748 lei/lună. Fond nuntă 1,262 lei. Disponibil +1,237 lei.</t>
        </is>
      </c>
    </row>
    <row r="15" ht="18" customHeight="1">
      <c r="B15" s="76" t="inlineStr">
        <is>
          <t>🟡 AUG 2026: Fond nuntă 1,262 lei. Mâncare revine la 900 lei. Disponibil +838 lei.</t>
        </is>
      </c>
    </row>
    <row r="16" ht="18" customHeight="1">
      <c r="B16" s="77" t="inlineStr">
        <is>
          <t>🟢 SEP 2026: Vodafone + Orange ajung la minim. Disponibil +2,128 lei (31.8% economii).</t>
        </is>
      </c>
    </row>
    <row r="17" ht="18" customHeight="1">
      <c r="B17" s="76" t="inlineStr">
        <is>
          <t>🟢 OCT 2026: eMag rate se termină! Economii suplimentare +297 lei. Disponibil +1,725 lei.</t>
        </is>
      </c>
    </row>
    <row r="18" ht="18" customHeight="1">
      <c r="B18" s="77" t="inlineStr">
        <is>
          <t>🟢 NOV 2026: Cel mai bun sold proiectat: +2,425 lei (36.2% economii).</t>
        </is>
      </c>
    </row>
  </sheetData>
  <mergeCells count="7">
    <mergeCell ref="B16:N16"/>
    <mergeCell ref="B14:N14"/>
    <mergeCell ref="B17:N17"/>
    <mergeCell ref="B18:N18"/>
    <mergeCell ref="B13:N13"/>
    <mergeCell ref="B15:N15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F4444"/>
    <outlinePr summaryBelow="1" summaryRight="1"/>
    <pageSetUpPr/>
  </sheetPr>
  <dimension ref="B2:I23"/>
  <sheetViews>
    <sheetView showGridLines="0" zoomScale="95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8" customWidth="1" min="9" max="9"/>
    <col width="3" customWidth="1" min="10" max="10"/>
  </cols>
  <sheetData>
    <row r="1" ht="8" customHeight="1"/>
    <row r="2" ht="30" customHeight="1">
      <c r="B2" s="46" t="inlineStr">
        <is>
          <t>🎯 PLAN REFACERE BUGETARĂ 2026 — MARIUS</t>
        </is>
      </c>
    </row>
    <row r="3" ht="8" customHeight="1"/>
    <row r="4">
      <c r="B4" s="3" t="inlineStr">
        <is>
          <t>Categorie</t>
        </is>
      </c>
      <c r="C4" s="3" t="inlineStr">
        <is>
          <t>IUN</t>
        </is>
      </c>
      <c r="D4" s="3" t="inlineStr">
        <is>
          <t>IUL</t>
        </is>
      </c>
      <c r="E4" s="3" t="inlineStr">
        <is>
          <t>AUG</t>
        </is>
      </c>
      <c r="F4" s="3" t="inlineStr">
        <is>
          <t>SEP</t>
        </is>
      </c>
      <c r="G4" s="3" t="inlineStr">
        <is>
          <t>OCT</t>
        </is>
      </c>
      <c r="H4" s="3" t="inlineStr">
        <is>
          <t>NOV</t>
        </is>
      </c>
      <c r="I4" s="3" t="inlineStr">
        <is>
          <t>Note</t>
        </is>
      </c>
    </row>
    <row r="5" ht="16" customHeight="1">
      <c r="B5" s="78" t="inlineStr">
        <is>
          <t>── VENITURI ──</t>
        </is>
      </c>
    </row>
    <row r="6" ht="20" customHeight="1">
      <c r="B6" s="66" t="inlineStr">
        <is>
          <t>Salariu net</t>
        </is>
      </c>
      <c r="C6" s="22" t="n">
        <v>6700</v>
      </c>
      <c r="D6" s="22" t="n">
        <v>6700</v>
      </c>
      <c r="E6" s="22" t="n">
        <v>6700</v>
      </c>
      <c r="F6" s="22" t="n">
        <v>6700</v>
      </c>
      <c r="G6" s="22" t="n">
        <v>6700</v>
      </c>
      <c r="H6" s="22" t="n">
        <v>6700</v>
      </c>
      <c r="I6" s="79" t="inlineStr">
        <is>
          <t>Soldă</t>
        </is>
      </c>
    </row>
    <row r="7" ht="16" customHeight="1">
      <c r="B7" s="78" t="inlineStr">
        <is>
          <t>── CHELTUIELI FIXE ──</t>
        </is>
      </c>
    </row>
    <row r="8" ht="20" customHeight="1">
      <c r="B8" s="52" t="inlineStr">
        <is>
          <t>Credit auto (rată)</t>
        </is>
      </c>
      <c r="C8" s="10" t="n">
        <v>800</v>
      </c>
      <c r="D8" s="10" t="n">
        <v>800</v>
      </c>
      <c r="E8" s="10" t="n">
        <v>800</v>
      </c>
      <c r="F8" s="10" t="n">
        <v>800</v>
      </c>
      <c r="G8" s="10" t="n">
        <v>800</v>
      </c>
      <c r="H8" s="10" t="n">
        <v>800</v>
      </c>
      <c r="I8" s="80" t="inlineStr">
        <is>
          <t>Scade mar 2027</t>
        </is>
      </c>
    </row>
    <row r="9" ht="20" customHeight="1">
      <c r="B9" s="50" t="inlineStr">
        <is>
          <t>TBI Bank</t>
        </is>
      </c>
      <c r="C9" s="5" t="n">
        <v>1869</v>
      </c>
      <c r="D9" s="5" t="n">
        <v>1121</v>
      </c>
      <c r="E9" s="5" t="n">
        <v>1121</v>
      </c>
      <c r="F9" s="5" t="n">
        <v>1121</v>
      </c>
      <c r="G9" s="5" t="n">
        <v>1121</v>
      </c>
      <c r="H9" s="5" t="n">
        <v>1121</v>
      </c>
      <c r="I9" s="81" t="inlineStr">
        <is>
          <t>3 rate → -748 lei/lună din iul</t>
        </is>
      </c>
    </row>
    <row r="10" ht="20" customHeight="1">
      <c r="B10" s="52" t="inlineStr">
        <is>
          <t>Vodafone</t>
        </is>
      </c>
      <c r="C10" s="10" t="n">
        <v>544</v>
      </c>
      <c r="D10" s="10" t="n">
        <v>373</v>
      </c>
      <c r="E10" s="10" t="n">
        <v>237</v>
      </c>
      <c r="F10" s="10" t="n">
        <v>237</v>
      </c>
      <c r="G10" s="10" t="n">
        <v>237</v>
      </c>
      <c r="H10" s="10" t="n">
        <v>237</v>
      </c>
      <c r="I10" s="80" t="inlineStr">
        <is>
          <t>RED35 minim din 16 iul</t>
        </is>
      </c>
    </row>
    <row r="11" ht="20" customHeight="1">
      <c r="B11" s="50" t="inlineStr">
        <is>
          <t>Orange</t>
        </is>
      </c>
      <c r="C11" s="5" t="n">
        <v>553</v>
      </c>
      <c r="D11" s="5" t="n">
        <v>410</v>
      </c>
      <c r="E11" s="5" t="n">
        <v>262</v>
      </c>
      <c r="F11" s="5" t="n">
        <v>262</v>
      </c>
      <c r="G11" s="5" t="n">
        <v>262</v>
      </c>
      <c r="H11" s="5" t="n">
        <v>262</v>
      </c>
      <c r="I11" s="81" t="inlineStr">
        <is>
          <t>SmartPlus30 minim din aug</t>
        </is>
      </c>
    </row>
    <row r="12" ht="20" customHeight="1">
      <c r="B12" s="52" t="inlineStr">
        <is>
          <t>eMag rate (total)</t>
        </is>
      </c>
      <c r="C12" s="10" t="n">
        <v>534</v>
      </c>
      <c r="D12" s="10" t="n">
        <v>442</v>
      </c>
      <c r="E12" s="10" t="n">
        <v>325</v>
      </c>
      <c r="F12" s="10" t="n">
        <v>297</v>
      </c>
      <c r="G12" s="10" t="n">
        <v>0</v>
      </c>
      <c r="H12" s="10" t="n">
        <v>0</v>
      </c>
      <c r="I12" s="80" t="inlineStr">
        <is>
          <t>Terminate oct 2026 🎉</t>
        </is>
      </c>
    </row>
    <row r="13" ht="20" customHeight="1">
      <c r="B13" s="50" t="inlineStr">
        <is>
          <t>STB (abonament)</t>
        </is>
      </c>
      <c r="C13" s="5" t="n">
        <v>160</v>
      </c>
      <c r="D13" s="5" t="n">
        <v>160</v>
      </c>
      <c r="E13" s="5" t="n">
        <v>160</v>
      </c>
      <c r="F13" s="5" t="n">
        <v>160</v>
      </c>
      <c r="G13" s="5" t="n">
        <v>160</v>
      </c>
      <c r="H13" s="5" t="n">
        <v>160</v>
      </c>
      <c r="I13" s="81" t="inlineStr">
        <is>
          <t>Fix lunar</t>
        </is>
      </c>
    </row>
    <row r="14" ht="20" customHeight="1">
      <c r="B14" s="52" t="inlineStr">
        <is>
          <t>Țigări (26.50/zi×30)</t>
        </is>
      </c>
      <c r="C14" s="10" t="n">
        <v>795</v>
      </c>
      <c r="D14" s="10" t="n">
        <v>795</v>
      </c>
      <c r="E14" s="10" t="n">
        <v>795</v>
      </c>
      <c r="F14" s="10" t="n">
        <v>795</v>
      </c>
      <c r="G14" s="10" t="n">
        <v>795</v>
      </c>
      <c r="H14" s="10" t="n">
        <v>795</v>
      </c>
      <c r="I14" s="80" t="inlineStr">
        <is>
          <t>9,540 lei/an — reconsideră!</t>
        </is>
      </c>
    </row>
    <row r="15" ht="20" customHeight="1">
      <c r="B15" s="50" t="inlineStr">
        <is>
          <t>Mâncare</t>
        </is>
      </c>
      <c r="C15" s="5" t="n">
        <v>100</v>
      </c>
      <c r="D15" s="5" t="n">
        <v>100</v>
      </c>
      <c r="E15" s="5" t="n">
        <v>900</v>
      </c>
      <c r="F15" s="5" t="n">
        <v>900</v>
      </c>
      <c r="G15" s="5" t="n">
        <v>900</v>
      </c>
      <c r="H15" s="5" t="n">
        <v>900</v>
      </c>
      <c r="I15" s="81" t="inlineStr">
        <is>
          <t>Iun+iul: de la părinți</t>
        </is>
      </c>
    </row>
    <row r="16" ht="16" customHeight="1">
      <c r="B16" s="78" t="inlineStr">
        <is>
          <t>── ONE-TIME ──</t>
        </is>
      </c>
    </row>
    <row r="17" ht="20" customHeight="1">
      <c r="B17" s="82" t="inlineStr">
        <is>
          <t>Axi (recuperat→plătit)</t>
        </is>
      </c>
      <c r="C17" s="83" t="n">
        <v>2500</v>
      </c>
      <c r="D17" s="83" t="n">
        <v>0</v>
      </c>
      <c r="E17" s="83" t="n">
        <v>0</v>
      </c>
      <c r="F17" s="83" t="n">
        <v>0</v>
      </c>
      <c r="G17" s="83" t="n">
        <v>0</v>
      </c>
      <c r="H17" s="83" t="n">
        <v>0</v>
      </c>
      <c r="I17" s="84" t="inlineStr">
        <is>
          <t>Recuperezi, plătești TBI</t>
        </is>
      </c>
    </row>
    <row r="18" ht="20" customHeight="1">
      <c r="B18" s="82" t="inlineStr">
        <is>
          <t>Fond nuntă (500 EUR)</t>
        </is>
      </c>
      <c r="C18" s="83" t="n">
        <v>0</v>
      </c>
      <c r="D18" s="83" t="n">
        <v>1262</v>
      </c>
      <c r="E18" s="83" t="n">
        <v>1262</v>
      </c>
      <c r="F18" s="83" t="n">
        <v>0</v>
      </c>
      <c r="G18" s="83" t="n">
        <v>0</v>
      </c>
      <c r="H18" s="83" t="n">
        <v>0</v>
      </c>
      <c r="I18" s="84" t="inlineStr">
        <is>
          <t>500 EUR @ 5.05 = 2,525 lei</t>
        </is>
      </c>
    </row>
    <row r="19" ht="20" customHeight="1">
      <c r="B19" s="82" t="inlineStr">
        <is>
          <t>Școala șoferilor</t>
        </is>
      </c>
      <c r="C19" s="83" t="n">
        <v>0</v>
      </c>
      <c r="D19" s="83" t="n">
        <v>0</v>
      </c>
      <c r="E19" s="83" t="n">
        <v>0</v>
      </c>
      <c r="F19" s="83" t="n">
        <v>0</v>
      </c>
      <c r="G19" s="83" t="n">
        <v>700</v>
      </c>
      <c r="H19" s="83" t="n">
        <v>0</v>
      </c>
      <c r="I19" s="84" t="inlineStr">
        <is>
          <t>Estimat oct, total 2,500-3,500</t>
        </is>
      </c>
    </row>
    <row r="20" ht="16" customHeight="1">
      <c r="B20" s="78" t="inlineStr">
        <is>
          <t>── TOTALE ──</t>
        </is>
      </c>
    </row>
    <row r="21" ht="20" customHeight="1">
      <c r="B21" s="68" t="inlineStr">
        <is>
          <t>TOTAL CHELTUIELI</t>
        </is>
      </c>
      <c r="C21" s="21" t="n">
        <v>7855</v>
      </c>
      <c r="D21" s="21" t="n">
        <v>5463</v>
      </c>
      <c r="E21" s="21" t="n">
        <v>5862</v>
      </c>
      <c r="F21" s="21" t="n">
        <v>4572</v>
      </c>
      <c r="G21" s="21" t="n">
        <v>4975</v>
      </c>
      <c r="H21" s="21" t="n">
        <v>4275</v>
      </c>
      <c r="I21" s="85" t="inlineStr">
        <is>
          <t>Auto-calculat</t>
        </is>
      </c>
    </row>
    <row r="22" ht="20" customHeight="1">
      <c r="B22" s="73" t="inlineStr">
        <is>
          <t>DISPONIBIL</t>
        </is>
      </c>
      <c r="C22" s="86" t="n">
        <v>-1155</v>
      </c>
      <c r="D22" s="87" t="n">
        <v>1237</v>
      </c>
      <c r="E22" s="87" t="n">
        <v>838</v>
      </c>
      <c r="F22" s="87" t="n">
        <v>2128</v>
      </c>
      <c r="G22" s="87" t="n">
        <v>1725</v>
      </c>
      <c r="H22" s="87" t="n">
        <v>2425</v>
      </c>
      <c r="I22" s="88" t="inlineStr">
        <is>
          <t>Sold după toate cheltuielile</t>
        </is>
      </c>
    </row>
    <row r="23" ht="20" customHeight="1">
      <c r="B23" s="74" t="inlineStr">
        <is>
          <t>% Economisit</t>
        </is>
      </c>
      <c r="C23" s="20" t="n">
        <v>0</v>
      </c>
      <c r="D23" s="23" t="n">
        <v>0.185</v>
      </c>
      <c r="E23" s="23" t="n">
        <v>0.125</v>
      </c>
      <c r="F23" s="24" t="n">
        <v>0.318</v>
      </c>
      <c r="G23" s="24" t="n">
        <v>0.257</v>
      </c>
      <c r="H23" s="24" t="n">
        <v>0.362</v>
      </c>
      <c r="I23" s="89" t="inlineStr">
        <is>
          <t>Țintă min 20%</t>
        </is>
      </c>
    </row>
  </sheetData>
  <mergeCells count="5">
    <mergeCell ref="B7:I7"/>
    <mergeCell ref="B16:I16"/>
    <mergeCell ref="B2:I2"/>
    <mergeCell ref="B20:I20"/>
    <mergeCell ref="B5:I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4B8A6"/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4" customWidth="1" min="3" max="3"/>
    <col width="14" customWidth="1" min="4" max="4"/>
    <col width="14" customWidth="1" min="5" max="5"/>
    <col width="20" customWidth="1" min="6" max="6"/>
    <col width="3" customWidth="1" min="7" max="7"/>
  </cols>
  <sheetData>
    <row r="1" ht="8" customHeight="1"/>
    <row r="2" ht="30" customHeight="1">
      <c r="B2" s="46" t="inlineStr">
        <is>
          <t>🏦 OBIECTIVE FINANCIARE &amp; ECONOMII</t>
        </is>
      </c>
    </row>
    <row r="3" ht="8" customHeight="1"/>
    <row r="4">
      <c r="B4" s="3" t="inlineStr">
        <is>
          <t>Obiectiv</t>
        </is>
      </c>
      <c r="C4" s="3" t="inlineStr">
        <is>
          <t>Țintă (lei)</t>
        </is>
      </c>
      <c r="D4" s="3" t="inlineStr">
        <is>
          <t>Economisit</t>
        </is>
      </c>
      <c r="E4" s="3" t="inlineStr">
        <is>
          <t>Rămas</t>
        </is>
      </c>
      <c r="F4" s="3" t="inlineStr">
        <is>
          <t>Data Țintă</t>
        </is>
      </c>
    </row>
    <row r="5" ht="26" customHeight="1">
      <c r="B5" s="59" t="inlineStr">
        <is>
          <t>🎓 Școala șoferilor</t>
        </is>
      </c>
      <c r="C5" s="5" t="n">
        <v>3000</v>
      </c>
      <c r="D5" s="19" t="n">
        <v>0</v>
      </c>
      <c r="E5" s="5">
        <f>C5-D5</f>
        <v/>
      </c>
      <c r="F5" s="90" t="inlineStr">
        <is>
          <t>Oct 2026</t>
        </is>
      </c>
    </row>
    <row r="6" ht="26" customHeight="1">
      <c r="B6" s="61" t="inlineStr">
        <is>
          <t>💍 Fond nuntă</t>
        </is>
      </c>
      <c r="C6" s="10" t="n">
        <v>2525</v>
      </c>
      <c r="D6" s="19" t="n">
        <v>0</v>
      </c>
      <c r="E6" s="10">
        <f>C6-D6</f>
        <v/>
      </c>
      <c r="F6" s="91" t="inlineStr">
        <is>
          <t>Aug 2026</t>
        </is>
      </c>
    </row>
    <row r="7" ht="26" customHeight="1">
      <c r="B7" s="59" t="inlineStr">
        <is>
          <t>🆘 Fond urgență (3 luni)</t>
        </is>
      </c>
      <c r="C7" s="5" t="n">
        <v>20100</v>
      </c>
      <c r="D7" s="19" t="n">
        <v>0</v>
      </c>
      <c r="E7" s="5">
        <f>C7-D7</f>
        <v/>
      </c>
      <c r="F7" s="90" t="inlineStr">
        <is>
          <t>Dec 2026</t>
        </is>
      </c>
    </row>
    <row r="8" ht="26" customHeight="1">
      <c r="B8" s="61" t="inlineStr">
        <is>
          <t>💻 Upgrade PC/echipament</t>
        </is>
      </c>
      <c r="C8" s="10" t="n">
        <v>2000</v>
      </c>
      <c r="D8" s="19" t="n">
        <v>0</v>
      </c>
      <c r="E8" s="10">
        <f>C8-D8</f>
        <v/>
      </c>
      <c r="F8" s="91" t="inlineStr">
        <is>
          <t>2027</t>
        </is>
      </c>
    </row>
    <row r="9" ht="26" customHeight="1">
      <c r="B9" s="59" t="inlineStr">
        <is>
          <t>📈 Capital trading bot</t>
        </is>
      </c>
      <c r="C9" s="5" t="n">
        <v>5000</v>
      </c>
      <c r="D9" s="19" t="n">
        <v>0</v>
      </c>
      <c r="E9" s="5">
        <f>C9-D9</f>
        <v/>
      </c>
      <c r="F9" s="90" t="inlineStr">
        <is>
          <t>2027</t>
        </is>
      </c>
    </row>
    <row r="10" ht="26" customHeight="1">
      <c r="B10" s="61" t="inlineStr">
        <is>
          <t>✈️ Vacanță</t>
        </is>
      </c>
      <c r="C10" s="10" t="n">
        <v>2000</v>
      </c>
      <c r="D10" s="19" t="n">
        <v>0</v>
      </c>
      <c r="E10" s="10">
        <f>C10-D10</f>
        <v/>
      </c>
      <c r="F10" s="91" t="inlineStr">
        <is>
          <t>2027</t>
        </is>
      </c>
    </row>
    <row r="12" ht="22" customHeight="1">
      <c r="B12" s="92" t="inlineStr">
        <is>
          <t>✏️ Completează coloana 'Economisit' cu sumele reale pentru a vedea progresul</t>
        </is>
      </c>
    </row>
  </sheetData>
  <mergeCells count="2">
    <mergeCell ref="B2:F2"/>
    <mergeCell ref="B12:F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B7280"/>
    <outlinePr summaryBelow="1" summaryRight="1"/>
    <pageSetUpPr/>
  </sheetPr>
  <dimension ref="B2:B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0" customWidth="1" min="2" max="2"/>
    <col width="3" customWidth="1" min="3" max="3"/>
  </cols>
  <sheetData>
    <row r="1" ht="8" customHeight="1"/>
    <row r="2" ht="35" customHeight="1">
      <c r="B2" s="93" t="inlineStr">
        <is>
          <t>📖 GHID DE UTILIZARE — BUGET PERSONAL MARIUS 2026</t>
        </is>
      </c>
    </row>
    <row r="3" ht="8" customHeight="1">
      <c r="B3" s="94" t="inlineStr"/>
    </row>
    <row r="4" ht="20" customHeight="1">
      <c r="B4" s="95" t="inlineStr">
        <is>
          <t>🚀 START RAPID</t>
        </is>
      </c>
    </row>
    <row r="5" ht="18" customHeight="1">
      <c r="B5" s="96" t="inlineStr">
        <is>
          <t>1. Deschide tab-ul 📊 Dashboard și verifică că solda (6,700 lei) este corectă în celula C6.</t>
        </is>
      </c>
    </row>
    <row r="6" ht="18" customHeight="1">
      <c r="B6" s="96" t="inlineStr">
        <is>
          <t>2. Actualizează cheltuielile fixe dacă s-au schimbat (ex: după scăderea ratelor în iul 2026).</t>
        </is>
      </c>
    </row>
    <row r="7" ht="18" customHeight="1">
      <c r="B7" s="96" t="inlineStr">
        <is>
          <t>3. În fiecare zi când cheltuiești bani, adaugă o linie în tab-ul 📝 Cheltuieli.</t>
        </is>
      </c>
    </row>
    <row r="8" ht="18" customHeight="1">
      <c r="B8" s="96" t="inlineStr">
        <is>
          <t>4. Selectează categoria din dropdown (coloana C) și metoda de plată (coloana F).</t>
        </is>
      </c>
    </row>
    <row r="9" ht="18" customHeight="1">
      <c r="B9" s="96" t="inlineStr">
        <is>
          <t>5. Dashboard-ul se actualizează automat — verifică-l cel puțin o dată pe săptămână.</t>
        </is>
      </c>
    </row>
    <row r="10" ht="8" customHeight="1">
      <c r="B10" s="94" t="inlineStr"/>
    </row>
    <row r="11" ht="20" customHeight="1">
      <c r="B11" s="95" t="inlineStr">
        <is>
          <t>📅 RUTINA LUNARĂ</t>
        </is>
      </c>
    </row>
    <row r="12" ht="18" customHeight="1">
      <c r="B12" s="97" t="inlineStr">
        <is>
          <t>• La ÎNCEPUTUL lunii: actualizează cheltuielile fixe dacă s-au modificat rate/abonamente.</t>
        </is>
      </c>
    </row>
    <row r="13" ht="18" customHeight="1">
      <c r="B13" s="97" t="inlineStr">
        <is>
          <t>• Pe PARCURS: adaugă cheltuielile zilnice în tab 📝 Cheltuieli.</t>
        </is>
      </c>
    </row>
    <row r="14" ht="18" customHeight="1">
      <c r="B14" s="97" t="inlineStr">
        <is>
          <t>• La FINALUL lunii: completează rândul lunii curente în tab 📈 Evoluție Lunară.</t>
        </is>
      </c>
    </row>
    <row r="15" ht="18" customHeight="1">
      <c r="B15" s="97" t="inlineStr">
        <is>
          <t>• Verifică tab-ul 🏦 Obiective și actualizează suma economisită pentru fiecare scop.</t>
        </is>
      </c>
    </row>
    <row r="16" ht="8" customHeight="1">
      <c r="B16" s="94" t="inlineStr"/>
    </row>
    <row r="17" ht="20" customHeight="1">
      <c r="B17" s="95" t="inlineStr">
        <is>
          <t>⚠️ ATENȚII IMPORTANTE</t>
        </is>
      </c>
    </row>
    <row r="18" ht="18" customHeight="1">
      <c r="B18" s="97" t="inlineStr">
        <is>
          <t>• Țigări: 795 lei/lună = 9,540 lei/an. Dacă renunți, obții fond urgență în ~2 luni!</t>
        </is>
      </c>
    </row>
    <row r="19" ht="18" customHeight="1">
      <c r="B19" s="97" t="inlineStr">
        <is>
          <t>• Rate vs Venit: în IUN 2026 ratele depășesc 100% din salariu — situație critică pe termen scurt.</t>
        </is>
      </c>
    </row>
    <row r="20" ht="18" customHeight="1">
      <c r="B20" s="97" t="inlineStr">
        <is>
          <t>• IUL 2026: TBI scade cu 748 lei → automatizează viramentul diferenței în economii.</t>
        </is>
      </c>
    </row>
    <row r="21" ht="18" customHeight="1">
      <c r="B21" s="97" t="inlineStr">
        <is>
          <t>• OCT 2026: eMag rate se termină complet → +534 lei/lună disponibili.</t>
        </is>
      </c>
    </row>
    <row r="22" ht="18" customHeight="1">
      <c r="B22" s="97" t="inlineStr">
        <is>
          <t>• Fond urgență recomandat: 3 luni cheltuieli ≈ 20,100 lei (3 × 6,700 lei).</t>
        </is>
      </c>
    </row>
    <row r="23" ht="8" customHeight="1">
      <c r="B23" s="94" t="inlineStr"/>
    </row>
    <row r="24" ht="20" customHeight="1">
      <c r="B24" s="95" t="inlineStr">
        <is>
          <t>🎯 REGULA 50/30/20 ADAPTATĂ SITUAȚIEI TALE</t>
        </is>
      </c>
    </row>
    <row r="25" ht="18" customHeight="1">
      <c r="B25" s="97" t="inlineStr">
        <is>
          <t>• Nevoi (50% = 3,350 lei): rate, utilități, mâncare, transport.</t>
        </is>
      </c>
    </row>
    <row r="26" ht="18" customHeight="1">
      <c r="B26" s="97" t="inlineStr">
        <is>
          <t>• Dorințe (30% = 2,010 lei): divertisment, gaming, ieșiri, haine.</t>
        </is>
      </c>
    </row>
    <row r="27" ht="18" customHeight="1">
      <c r="B27" s="97" t="inlineStr">
        <is>
          <t>• Economii (20% = 1,340 lei): fond urgență, obiective, investiții.</t>
        </is>
      </c>
    </row>
    <row r="28" ht="18" customHeight="1">
      <c r="B28" s="97" t="inlineStr">
        <is>
          <t>• În prezent cheltuielile depășesc 100% — plan de refacere activ până NOV 2026.</t>
        </is>
      </c>
    </row>
    <row r="29" ht="8" customHeight="1">
      <c r="B29" s="94" t="inlineStr"/>
    </row>
    <row r="30" ht="20" customHeight="1">
      <c r="B30" s="95" t="inlineStr">
        <is>
          <t>🔧 PERSONALIZARE</t>
        </is>
      </c>
    </row>
    <row r="31" ht="18" customHeight="1">
      <c r="B31" s="97" t="inlineStr">
        <is>
          <t>• Celulele cu fundal deschis (alb/lavandă) sunt editabile.</t>
        </is>
      </c>
    </row>
    <row r="32" ht="18" customHeight="1">
      <c r="B32" s="97" t="inlineStr">
        <is>
          <t>• Nu modifica formulele din celulele colorate (verde/roșu/albastru) — sunt auto-calculate.</t>
        </is>
      </c>
    </row>
    <row r="33" ht="18" customHeight="1">
      <c r="B33" s="97" t="inlineStr">
        <is>
          <t>• Pentru a adăuga o categorie nouă în dropdown: editează Data Validation din coloana C în tab-ul 📝.</t>
        </is>
      </c>
    </row>
  </sheetData>
  <mergeCells count="1">
    <mergeCell ref="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2026-06-14T16:48:35Z</dcterms:created>
  <dcterms:modified xmlns:dcterms="http://purl.org/dc/terms/" xmlns:xsi="http://www.w3.org/2001/XMLSchema-instance" xsi:type="dcterms:W3CDTF">2026-06-14T16:51:07Z</dcterms:modified>
</cp:coreProperties>
</file>