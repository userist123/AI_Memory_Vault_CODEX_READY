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eltuieli" sheetId="2" state="visible" r:id="rId2"/>
    <sheet xmlns:r="http://schemas.openxmlformats.org/officeDocument/2006/relationships" name="Raport Categorii" sheetId="3" state="visible" r:id="rId3"/>
    <sheet xmlns:r="http://schemas.openxmlformats.org/officeDocument/2006/relationships" name="Evoluție Lunară" sheetId="4" state="visible" r:id="rId4"/>
    <sheet xmlns:r="http://schemas.openxmlformats.org/officeDocument/2006/relationships" name="Plan Refacere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&quot; lei&quot;"/>
    <numFmt numFmtId="165" formatCode="0.0%"/>
    <numFmt numFmtId="166" formatCode="#,##0&quot; lei&quot;;\(#,##0&quot;) lei&quot;;\-"/>
    <numFmt numFmtId="167" formatCode="dd\.mm\.yyyy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1696F"/>
      <sz val="18"/>
    </font>
    <font>
      <name val="Calibri"/>
      <charset val="1"/>
      <family val="0"/>
      <color rgb="FF7A7974"/>
      <sz val="9"/>
    </font>
    <font>
      <name val="Calibri"/>
      <charset val="1"/>
      <family val="0"/>
      <b val="1"/>
      <color rgb="FF01696F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8251D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b val="1"/>
      <color rgb="FF28251D"/>
      <sz val="11"/>
    </font>
    <font>
      <name val="Calibri"/>
      <charset val="1"/>
      <family val="0"/>
      <color rgb="FF7A7974"/>
      <sz val="10"/>
    </font>
    <font>
      <name val="Calibri"/>
      <charset val="1"/>
      <family val="0"/>
      <b val="1"/>
      <color rgb="FFA13544"/>
      <sz val="12"/>
    </font>
    <font>
      <name val="Calibri"/>
      <charset val="1"/>
      <family val="0"/>
      <b val="1"/>
      <color rgb="FF28251D"/>
      <sz val="12"/>
    </font>
    <font>
      <name val="Calibri"/>
      <charset val="1"/>
      <family val="0"/>
      <b val="1"/>
      <color rgb="FF01696F"/>
      <sz val="14"/>
    </font>
    <font>
      <name val="Calibri"/>
      <charset val="1"/>
      <family val="0"/>
      <b val="1"/>
      <color rgb="FF01696F"/>
      <sz val="16"/>
    </font>
    <font>
      <name val="Calibri"/>
      <charset val="1"/>
      <family val="0"/>
      <b val="1"/>
      <color rgb="FF01696F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FFFFFF"/>
      <sz val="14"/>
    </font>
    <font>
      <i val="1"/>
      <color rgb="00666666"/>
    </font>
    <font>
      <b val="1"/>
      <color rgb="00FFFFFF"/>
      <sz val="12"/>
    </font>
    <font>
      <b val="1"/>
      <color rgb="00FFFFFF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FF01696F"/>
        <bgColor rgb="FF006494"/>
      </patternFill>
    </fill>
    <fill>
      <patternFill patternType="solid">
        <fgColor rgb="FFE0F2F1"/>
        <bgColor rgb="FFF9F9F9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  <fill>
      <patternFill patternType="solid">
        <fgColor rgb="007F6000"/>
        <bgColor rgb="007F6000"/>
      </patternFill>
    </fill>
    <fill>
      <patternFill patternType="solid">
        <fgColor rgb="00C00000"/>
        <bgColor rgb="00C00000"/>
      </patternFill>
    </fill>
    <fill>
      <patternFill patternType="solid">
        <fgColor rgb="00375623"/>
        <bgColor rgb="00375623"/>
      </patternFill>
    </fill>
    <fill>
      <patternFill patternType="solid">
        <fgColor rgb="00404040"/>
        <bgColor rgb="00404040"/>
      </patternFill>
    </fill>
  </fills>
  <borders count="3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164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indent="1"/>
    </xf>
    <xf numFmtId="165" fontId="8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indent="1"/>
    </xf>
    <xf numFmtId="164" fontId="6" fillId="3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4" fontId="12" fillId="3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 indent="1"/>
    </xf>
    <xf numFmtId="166" fontId="14" fillId="3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7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right" vertical="center"/>
    </xf>
    <xf numFmtId="164" fontId="16" fillId="3" borderId="1" applyAlignment="1" pivotButton="0" quotePrefix="0" xfId="0">
      <alignment horizontal="right" vertical="center"/>
    </xf>
    <xf numFmtId="165" fontId="16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164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indent="1"/>
    </xf>
    <xf numFmtId="165" fontId="8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indent="1"/>
    </xf>
    <xf numFmtId="164" fontId="6" fillId="3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4" fontId="12" fillId="3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 indent="1"/>
    </xf>
    <xf numFmtId="166" fontId="14" fillId="3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7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right" vertical="center"/>
    </xf>
    <xf numFmtId="164" fontId="16" fillId="3" borderId="1" applyAlignment="1" pivotButton="0" quotePrefix="0" xfId="0">
      <alignment horizontal="right" vertical="center"/>
    </xf>
    <xf numFmtId="165" fontId="16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0" fontId="20" fillId="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4" borderId="2" applyAlignment="1" pivotButton="0" quotePrefix="0" xfId="0">
      <alignment horizontal="center" vertical="center"/>
    </xf>
    <xf numFmtId="0" fontId="23" fillId="5" borderId="2" pivotButton="0" quotePrefix="0" xfId="0"/>
    <xf numFmtId="0" fontId="0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23" fillId="8" borderId="2" pivotButton="0" quotePrefix="0" xfId="0"/>
    <xf numFmtId="0" fontId="24" fillId="4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3" fillId="10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b val="1"/>
        <color rgb="FFA13544"/>
      </font>
      <fill>
        <patternFill>
          <bgColor rgb="FFFFC7CE"/>
        </patternFill>
      </fill>
    </dxf>
    <dxf>
      <font>
        <b val="1"/>
        <color rgb="FF437A22"/>
      </font>
      <fill>
        <patternFill>
          <bgColor rgb="FFC6EFCE"/>
        </patternFill>
      </fill>
    </dxf>
    <dxf>
      <font>
        <b val="1"/>
        <color rgb="FFA13544"/>
      </font>
    </dxf>
    <dxf>
      <font>
        <color rgb="FFA13544"/>
      </font>
      <fill>
        <patternFill>
          <bgColor rgb="FFFFC7CE"/>
        </patternFill>
      </fill>
    </dxf>
    <dxf>
      <font>
        <color rgb="FF437A22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E522B"/>
      <rgbColor rgb="FF800080"/>
      <rgbColor rgb="FF20808D"/>
      <rgbColor rgb="FFD4D1CA"/>
      <rgbColor rgb="FF878787"/>
      <rgbColor rgb="FF9999FF"/>
      <rgbColor rgb="FFA13544"/>
      <rgbColor rgb="FFF9F9F9"/>
      <rgbColor rgb="FFE0F2F1"/>
      <rgbColor rgb="FF660066"/>
      <rgbColor rgb="FFFF8080"/>
      <rgbColor rgb="FF006494"/>
      <rgbColor rgb="FFD9D9D9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BCE2E7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553"/>
      <rgbColor rgb="FFD19900"/>
      <rgbColor rgb="FFFF6600"/>
      <rgbColor rgb="FF7A7974"/>
      <rgbColor rgb="FF848456"/>
      <rgbColor rgb="FF1B474D"/>
      <rgbColor rgb="FF437A22"/>
      <rgbColor rgb="FF003300"/>
      <rgbColor rgb="FF333300"/>
      <rgbColor rgb="FFA84B2F"/>
      <rgbColor rgb="FF944454"/>
      <rgbColor rgb="FF333399"/>
      <rgbColor rgb="FF28251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Distribuție Cheltuieli pe Categorii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'Raport Categorii'!C5</f>
              <strCache>
                <ptCount val="1"/>
                <pt idx="0">
                  <v>Total Cheltuit (lei)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20808d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a84b2f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1b474d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3"/>
            <spPr>
              <a:solidFill xmlns:a="http://schemas.openxmlformats.org/drawingml/2006/main">
                <a:srgbClr val="bce2e7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4"/>
            <spPr>
              <a:solidFill xmlns:a="http://schemas.openxmlformats.org/drawingml/2006/main">
                <a:srgbClr val="944454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5"/>
            <spPr>
              <a:solidFill xmlns:a="http://schemas.openxmlformats.org/drawingml/2006/main">
                <a:srgbClr val="ffc553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6"/>
            <spPr>
              <a:solidFill xmlns:a="http://schemas.openxmlformats.org/drawingml/2006/main">
                <a:srgbClr val="848456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7"/>
            <spPr>
              <a:solidFill xmlns:a="http://schemas.openxmlformats.org/drawingml/2006/main">
                <a:srgbClr val="6e522b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8"/>
            <spPr>
              <a:solidFill xmlns:a="http://schemas.openxmlformats.org/drawingml/2006/main">
                <a:srgbClr val="d19900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9"/>
            <spPr>
              <a:solidFill xmlns:a="http://schemas.openxmlformats.org/drawingml/2006/main">
                <a:srgbClr val="006494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0"/>
            <showCatName val="1"/>
            <showSerName val="1"/>
            <showPercent val="1"/>
            <showLeaderLines val="1"/>
          </dLbls>
          <cat>
            <strRef>
              <f>'Raport Categorii'!$B$6:$B$15</f>
              <strCache>
                <ptCount val="10"/>
                <pt idx="0">
                  <v>Mâncare &amp; Băuturi</v>
                </pt>
                <pt idx="1">
                  <v>Cumpărături</v>
                </pt>
                <pt idx="2">
                  <v>Sănătate &amp; Farmacie</v>
                </pt>
                <pt idx="3">
                  <v>Haine &amp; Încălțăminte</v>
                </pt>
                <pt idx="4">
                  <v>Cadouri</v>
                </pt>
                <pt idx="5">
                  <v>Restaurante &amp; Cafenele</v>
                </pt>
                <pt idx="6">
                  <v>Divertisment &amp; Gaming</v>
                </pt>
                <pt idx="7">
                  <v>Tehnologie &amp; Gadgeturi</v>
                </pt>
                <pt idx="8">
                  <v>Educație &amp; Cursuri</v>
                </pt>
                <pt idx="9">
                  <v>Diverse</v>
                </pt>
              </strCache>
            </strRef>
          </cat>
          <val>
            <numRef>
              <f>'Raport Categorii'!$C$6:$C$15</f>
              <numCache>
                <formatCode>#,##0" lei"</formatCode>
                <ptCount val="10"/>
                <pt idx="0">
                  <v>185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75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Venituri vs Cheltuieli pe Luni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"Venituri"</f>
              <strCache>
                <ptCount val="1"/>
                <pt idx="0">
                  <v>Venituri</v>
                </pt>
              </strCache>
            </strRef>
          </tx>
          <spPr>
            <a:solidFill xmlns:a="http://schemas.openxmlformats.org/drawingml/2006/main">
              <a:srgbClr val="01696f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Dec</v>
                  </pt>
                </lvl>
                <lvl>
                  <pt idx="0">
                    <v>Nov</v>
                  </pt>
                </lvl>
                <lvl>
                  <pt idx="0">
                    <v>Oct</v>
                  </pt>
                </lvl>
                <lvl>
                  <pt idx="0">
                    <v>Sep</v>
                  </pt>
                </lvl>
                <lvl>
                  <pt idx="0">
                    <v>Aug</v>
                  </pt>
                </lvl>
                <lvl>
                  <pt idx="0">
                    <v>Iul</v>
                  </pt>
                </lvl>
                <lvl>
                  <pt idx="0">
                    <v>Iun</v>
                  </pt>
                </lvl>
                <lvl>
                  <pt idx="0">
                    <v>Mai</v>
                  </pt>
                </lvl>
                <lvl>
                  <pt idx="0">
                    <v>Apr</v>
                  </pt>
                </lvl>
                <lvl>
                  <pt idx="0">
                    <v>Mar</v>
                  </pt>
                </lvl>
                <lvl>
                  <pt idx="0">
                    <v>Feb</v>
                  </pt>
                </lvl>
                <lvl>
                  <pt idx="0">
                    <v>Ian</v>
                  </pt>
                </lvl>
              </multiLvlStrCache>
              <f>'Evoluție Lunară'!$C$5:$N$5</f>
            </multiLvlStrRef>
          </cat>
          <val>
            <numRef>
              <f>'Evoluție Lunară'!$C$6:$N$6</f>
              <numCache>
                <formatCode>#,##0" lei"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"Total Cheltuieli"</f>
              <strCache>
                <ptCount val="1"/>
                <pt idx="0">
                  <v>Total Cheltuieli</v>
                </pt>
              </strCache>
            </strRef>
          </tx>
          <spPr>
            <a:solidFill xmlns:a="http://schemas.openxmlformats.org/drawingml/2006/main">
              <a:srgbClr val="a13544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Dec</v>
                  </pt>
                </lvl>
                <lvl>
                  <pt idx="0">
                    <v>Nov</v>
                  </pt>
                </lvl>
                <lvl>
                  <pt idx="0">
                    <v>Oct</v>
                  </pt>
                </lvl>
                <lvl>
                  <pt idx="0">
                    <v>Sep</v>
                  </pt>
                </lvl>
                <lvl>
                  <pt idx="0">
                    <v>Aug</v>
                  </pt>
                </lvl>
                <lvl>
                  <pt idx="0">
                    <v>Iul</v>
                  </pt>
                </lvl>
                <lvl>
                  <pt idx="0">
                    <v>Iun</v>
                  </pt>
                </lvl>
                <lvl>
                  <pt idx="0">
                    <v>Mai</v>
                  </pt>
                </lvl>
                <lvl>
                  <pt idx="0">
                    <v>Apr</v>
                  </pt>
                </lvl>
                <lvl>
                  <pt idx="0">
                    <v>Mar</v>
                  </pt>
                </lvl>
                <lvl>
                  <pt idx="0">
                    <v>Feb</v>
                  </pt>
                </lvl>
                <lvl>
                  <pt idx="0">
                    <v>Ian</v>
                  </pt>
                </lvl>
              </multiLvlStrCache>
              <f>'Evoluție Lunară'!$C$5:$N$5</f>
            </multiLvlStrRef>
          </cat>
          <val>
            <numRef>
              <f>'Evoluție Lunară'!$C$9:$N$9</f>
              <numCache>
                <formatCode>#,##0" lei"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98944320"/>
        <axId val="63608670"/>
      </barChart>
      <catAx>
        <axId val="98944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3608670"/>
        <crosses val="autoZero"/>
        <auto val="1"/>
        <lblAlgn val="ctr"/>
        <lblOffset val="100"/>
        <noMultiLvlLbl val="0"/>
      </catAx>
      <valAx>
        <axId val="6360867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Lei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&quot; lei&quot;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894432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18</row>
      <rowOff>0</rowOff>
    </from>
    <to>
      <col>5</col>
      <colOff>417960</colOff>
      <row>40</row>
      <rowOff>128520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13</row>
      <rowOff>0</rowOff>
    </from>
    <to>
      <col>9</col>
      <colOff>118440</colOff>
      <row>35</row>
      <rowOff>128520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A1:H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9" min="1" max="1"/>
    <col width="32" customWidth="1" style="29" min="2" max="2"/>
    <col width="18" customWidth="1" style="29" min="3" max="3"/>
    <col width="3" customWidth="1" style="29" min="4" max="4"/>
    <col width="28" customWidth="1" style="29" min="5" max="5"/>
    <col width="14" customWidth="1" style="29" min="6" max="8"/>
  </cols>
  <sheetData>
    <row r="1"/>
    <row r="2" ht="30" customHeight="1" s="30">
      <c r="B2" s="31" t="inlineStr">
        <is>
          <t>BUGET PERSONAL - DASHBOARD</t>
        </is>
      </c>
    </row>
    <row r="3" ht="18" customHeight="1" s="30">
      <c r="B3" s="32" t="inlineStr">
        <is>
          <t>Completează solda și cheltuielile fixe, apoi înregistrează cheltuielile zilnice în tab-ul Cheltuieli</t>
        </is>
      </c>
    </row>
    <row r="4"/>
    <row r="5" ht="15" customHeight="1" s="30">
      <c r="B5" s="33" t="inlineStr">
        <is>
          <t>VENITURI LUNARE</t>
        </is>
      </c>
      <c r="E5" s="33" t="inlineStr">
        <is>
          <t>INDICATORI BUGET</t>
        </is>
      </c>
    </row>
    <row r="6" ht="15" customHeight="1" s="30">
      <c r="B6" s="34" t="inlineStr">
        <is>
          <t>Descriere</t>
        </is>
      </c>
      <c r="C6" s="34" t="inlineStr">
        <is>
          <t>Sumă (lei)</t>
        </is>
      </c>
    </row>
    <row r="7" ht="15" customHeight="1" s="30">
      <c r="B7" s="35" t="inlineStr">
        <is>
          <t>Solda netă</t>
        </is>
      </c>
      <c r="C7" s="36" t="n">
        <v>6700</v>
      </c>
      <c r="E7" s="34" t="inlineStr">
        <is>
          <t>Categorie</t>
        </is>
      </c>
      <c r="F7" s="34" t="inlineStr">
        <is>
          <t>% Actual</t>
        </is>
      </c>
      <c r="G7" s="34" t="inlineStr">
        <is>
          <t>% Țintă</t>
        </is>
      </c>
    </row>
    <row r="8" ht="15" customHeight="1" s="30">
      <c r="B8" s="35" t="inlineStr">
        <is>
          <t>Norma de hrană</t>
        </is>
      </c>
      <c r="C8" s="36" t="n">
        <v>0</v>
      </c>
      <c r="E8" s="37" t="inlineStr">
        <is>
          <t>Regula 50/30/20</t>
        </is>
      </c>
    </row>
    <row r="9" ht="15" customHeight="1" s="30">
      <c r="B9" s="35" t="inlineStr">
        <is>
          <t>Chirie compensatorie</t>
        </is>
      </c>
      <c r="C9" s="36" t="n">
        <v>0</v>
      </c>
      <c r="E9" s="35" t="inlineStr">
        <is>
          <t>Nevoi (max 50%)</t>
        </is>
      </c>
      <c r="F9" s="38">
        <f>IF(C11=0,0,(C23)/C11)</f>
        <v/>
      </c>
      <c r="G9" s="38" t="n">
        <v>0.5</v>
      </c>
    </row>
    <row r="10" ht="15" customHeight="1" s="30">
      <c r="B10" s="35" t="inlineStr">
        <is>
          <t>Alte venituri</t>
        </is>
      </c>
      <c r="C10" s="36" t="n">
        <v>0</v>
      </c>
      <c r="E10" s="35" t="inlineStr">
        <is>
          <t>Dorințe (max 30%)</t>
        </is>
      </c>
      <c r="F10" s="38">
        <f>IF(C11=0,0,C29/C11)</f>
        <v/>
      </c>
      <c r="G10" s="38" t="n">
        <v>0.3</v>
      </c>
    </row>
    <row r="11" ht="15" customHeight="1" s="30">
      <c r="B11" s="39" t="inlineStr">
        <is>
          <t>TOTAL VENITURI</t>
        </is>
      </c>
      <c r="C11" s="40">
        <f>SUM(C7:C10)</f>
        <v/>
      </c>
      <c r="E11" s="35" t="inlineStr">
        <is>
          <t>Economii (min 20%)</t>
        </is>
      </c>
      <c r="F11" s="38">
        <f>IF(C11=0,0,C30/C11)</f>
        <v/>
      </c>
      <c r="G11" s="38" t="n">
        <v>0.2</v>
      </c>
    </row>
    <row r="12"/>
    <row r="13" ht="15" customHeight="1" s="30">
      <c r="B13" s="33" t="inlineStr">
        <is>
          <t>CHELTUIELI FIXE LUNARE</t>
        </is>
      </c>
      <c r="E13" s="33" t="inlineStr">
        <is>
          <t>SFATURI RAPIDE</t>
        </is>
      </c>
    </row>
    <row r="14" ht="15" customHeight="1" s="30">
      <c r="B14" s="34" t="inlineStr">
        <is>
          <t>Categorie</t>
        </is>
      </c>
      <c r="C14" s="34" t="inlineStr">
        <is>
          <t>Sumă (lei)</t>
        </is>
      </c>
      <c r="E14" s="41" t="inlineStr">
        <is>
          <t>1. Completează mai întâi solda și veniturile (albastru = editabil)</t>
        </is>
      </c>
    </row>
    <row r="15" ht="15" customHeight="1" s="30">
      <c r="B15" s="35" t="inlineStr">
        <is>
          <t>Rate credite (auto + TBI)</t>
        </is>
      </c>
      <c r="C15" s="36" t="n">
        <v>2669</v>
      </c>
      <c r="E15" s="41" t="inlineStr">
        <is>
          <t>2. Setează cheltuielile fixe lunare</t>
        </is>
      </c>
    </row>
    <row r="16" ht="15" customHeight="1" s="30">
      <c r="B16" s="35" t="inlineStr">
        <is>
          <t>Utilități (curent, gaz, apă)</t>
        </is>
      </c>
      <c r="C16" s="36" t="n">
        <v>0</v>
      </c>
      <c r="E16" s="41" t="inlineStr">
        <is>
          <t>3. Înregistrează zilnic cheltuielile în tab-ul Cheltuieli</t>
        </is>
      </c>
    </row>
    <row r="17" ht="15" customHeight="1" s="30">
      <c r="B17" s="35" t="inlineStr">
        <is>
          <t>Telefonie (Vodafone + Orange)</t>
        </is>
      </c>
      <c r="C17" s="36" t="n">
        <v>1097</v>
      </c>
      <c r="E17" s="41" t="inlineStr">
        <is>
          <t>4. Verifică Dashboard-ul săptămânal</t>
        </is>
      </c>
    </row>
    <row r="18" ht="15" customHeight="1" s="30">
      <c r="B18" s="35" t="inlineStr">
        <is>
          <t>Transport (STB abonament)</t>
        </is>
      </c>
      <c r="C18" s="36" t="n">
        <v>160</v>
      </c>
      <c r="E18" s="41" t="inlineStr">
        <is>
          <t>5. Țintește 20% economii (regula 50/30/20)</t>
        </is>
      </c>
    </row>
    <row r="19" ht="15" customHeight="1" s="30">
      <c r="B19" s="35" t="inlineStr">
        <is>
          <t>Asigurări</t>
        </is>
      </c>
      <c r="C19" s="36" t="n">
        <v>0</v>
      </c>
    </row>
    <row r="20" ht="15" customHeight="1" s="30">
      <c r="B20" s="35" t="inlineStr">
        <is>
          <t>Țigări</t>
        </is>
      </c>
      <c r="C20" s="36" t="n">
        <v>795</v>
      </c>
    </row>
    <row r="21" ht="15" customHeight="1" s="30">
      <c r="B21" s="35" t="inlineStr">
        <is>
          <t>Fond nuntă (iul+aug)</t>
        </is>
      </c>
      <c r="C21" s="36" t="n">
        <v>0</v>
      </c>
    </row>
    <row r="22" ht="15" customHeight="1" s="30">
      <c r="B22" s="35" t="inlineStr">
        <is>
          <t>Rate eMag</t>
        </is>
      </c>
      <c r="C22" s="36" t="n">
        <v>534</v>
      </c>
    </row>
    <row r="23" ht="15" customHeight="1" s="30">
      <c r="B23" s="39" t="inlineStr">
        <is>
          <t>TOTAL CHELTUIELI FIXE</t>
        </is>
      </c>
      <c r="C23" s="42">
        <f>SUM(C15:C22)</f>
        <v/>
      </c>
    </row>
    <row r="24"/>
    <row r="25" ht="15" customHeight="1" s="30">
      <c r="B25" s="33" t="inlineStr">
        <is>
          <t>SUMAR LUNAR</t>
        </is>
      </c>
    </row>
    <row r="26" ht="15" customHeight="1" s="30">
      <c r="B26" s="34" t="inlineStr">
        <is>
          <t>Indicator</t>
        </is>
      </c>
      <c r="C26" s="34" t="inlineStr">
        <is>
          <t>Sumă (lei)</t>
        </is>
      </c>
    </row>
    <row r="27" ht="15" customHeight="1" s="30">
      <c r="B27" s="35" t="inlineStr">
        <is>
          <t>Total Venituri</t>
        </is>
      </c>
      <c r="C27" s="43">
        <f>C11</f>
        <v/>
      </c>
    </row>
    <row r="28" ht="15" customHeight="1" s="30">
      <c r="B28" s="35" t="inlineStr">
        <is>
          <t>Total Cheltuieli Fixe</t>
        </is>
      </c>
      <c r="C28" s="43">
        <f>C23</f>
        <v/>
      </c>
    </row>
    <row r="29" ht="15" customHeight="1" s="30">
      <c r="B29" s="35" t="inlineStr">
        <is>
          <t>Total Cheltuieli Variabile</t>
        </is>
      </c>
      <c r="C29" s="43">
        <f>Cheltuieli!G2</f>
        <v/>
      </c>
    </row>
    <row r="30" ht="18.65" customHeight="1" s="30">
      <c r="B30" s="44" t="inlineStr">
        <is>
          <t>SOLD RĂMAS (Disponibil)</t>
        </is>
      </c>
      <c r="C30" s="45">
        <f>C11-C23-C29</f>
        <v/>
      </c>
    </row>
    <row r="31" ht="15" customHeight="1" s="30">
      <c r="B31" s="35" t="inlineStr">
        <is>
          <t>% Economisit din venit</t>
        </is>
      </c>
      <c r="C31" s="46">
        <f>IF(C11=0,0,C30/C11)</f>
        <v/>
      </c>
    </row>
  </sheetData>
  <mergeCells count="12">
    <mergeCell ref="B13:C13"/>
    <mergeCell ref="E14:H14"/>
    <mergeCell ref="E17:H17"/>
    <mergeCell ref="E18:H18"/>
    <mergeCell ref="B25:C25"/>
    <mergeCell ref="B5:C5"/>
    <mergeCell ref="E16:H16"/>
    <mergeCell ref="B2:H2"/>
    <mergeCell ref="E15:H15"/>
    <mergeCell ref="B3:H3"/>
    <mergeCell ref="E5:H5"/>
    <mergeCell ref="E13:H13"/>
  </mergeCells>
  <conditionalFormatting sqref="C30">
    <cfRule type="cellIs" rank="0" priority="2" equalAverage="0" operator="lessThan" aboveAverage="0" dxfId="0" text="" percent="0" bottom="0">
      <formula>0</formula>
    </cfRule>
    <cfRule type="cellIs" rank="0" priority="3" equalAverage="0" operator="greaterThanOrEqual" aboveAverage="0" dxfId="1" text="" percent="0" bottom="0">
      <formula>0</formula>
    </cfRule>
  </conditionalFormatting>
  <conditionalFormatting sqref="F9">
    <cfRule type="cellIs" rank="0" priority="4" equalAverage="0" operator="greaterThan" aboveAverage="0" dxfId="2" text="" percent="0" bottom="0">
      <formula>0.5</formula>
    </cfRule>
  </conditionalFormatting>
  <conditionalFormatting sqref="F10">
    <cfRule type="cellIs" rank="0" priority="5" equalAverage="0" operator="greaterThan" aboveAverage="0" dxfId="2" text="" percent="0" bottom="0">
      <formula>0.3</formula>
    </cfRule>
  </conditionalFormatting>
  <conditionalFormatting sqref="F11">
    <cfRule type="cellIs" rank="0" priority="6" equalAverage="0" operator="lessThan" aboveAverage="0" dxfId="2" text="" percent="0" bottom="0">
      <formula>0.2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A84B2F"/>
    <outlinePr summaryBelow="1" summaryRight="1"/>
    <pageSetUpPr fitToPage="0"/>
  </sheetPr>
  <dimension ref="A1:G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" customWidth="1" style="29" min="1" max="1"/>
    <col width="14" customWidth="1" style="29" min="2" max="2"/>
    <col width="22" customWidth="1" style="29" min="3" max="3"/>
    <col width="35" customWidth="1" style="29" min="4" max="4"/>
    <col width="16" customWidth="1" style="29" min="5" max="5"/>
    <col width="18" customWidth="1" style="29" min="6" max="6"/>
  </cols>
  <sheetData>
    <row r="1" ht="30" customHeight="1" s="30">
      <c r="B1" s="47" t="inlineStr">
        <is>
          <t>JURNAL CHELTUIELI ZILNICE</t>
        </is>
      </c>
      <c r="G1" s="48" t="inlineStr">
        <is>
          <t>Total Variabile:</t>
        </is>
      </c>
    </row>
    <row r="2" ht="15" customHeight="1" s="30">
      <c r="G2" s="49">
        <f>SUM(E4:E203)</f>
        <v/>
      </c>
    </row>
    <row r="3" ht="15" customHeight="1" s="30">
      <c r="B3" s="34" t="inlineStr">
        <is>
          <t>Data</t>
        </is>
      </c>
      <c r="C3" s="34" t="inlineStr">
        <is>
          <t>Categorie</t>
        </is>
      </c>
      <c r="D3" s="34" t="inlineStr">
        <is>
          <t>Descriere</t>
        </is>
      </c>
      <c r="E3" s="34" t="inlineStr">
        <is>
          <t>Sumă (lei)</t>
        </is>
      </c>
      <c r="F3" s="34" t="inlineStr">
        <is>
          <t>Metodă plată</t>
        </is>
      </c>
    </row>
    <row r="4" ht="15" customHeight="1" s="30">
      <c r="B4" s="50" t="n">
        <v>46187</v>
      </c>
      <c r="C4" s="51" t="inlineStr">
        <is>
          <t>Diverse</t>
        </is>
      </c>
      <c r="D4" s="51" t="inlineStr">
        <is>
          <t>Recuperat Axi - incasat</t>
        </is>
      </c>
      <c r="E4" s="36" t="n">
        <v>-2500</v>
      </c>
      <c r="F4" s="52" t="inlineStr">
        <is>
          <t>Transfer</t>
        </is>
      </c>
    </row>
    <row r="5" ht="15" customHeight="1" s="30">
      <c r="B5" s="50" t="n">
        <v>46188</v>
      </c>
      <c r="C5" s="51" t="inlineStr">
        <is>
          <t>Diverse</t>
        </is>
      </c>
      <c r="D5" s="51" t="inlineStr">
        <is>
          <t>TBI Bank - plata minima</t>
        </is>
      </c>
      <c r="E5" s="36" t="n">
        <v>1869</v>
      </c>
      <c r="F5" s="52" t="inlineStr">
        <is>
          <t>Transfer</t>
        </is>
      </c>
    </row>
    <row r="6" ht="15" customHeight="1" s="30">
      <c r="B6" s="50" t="n">
        <v>46188</v>
      </c>
      <c r="C6" s="51" t="inlineStr">
        <is>
          <t>Transport (combustibil, STB)</t>
        </is>
      </c>
      <c r="D6" s="51" t="inlineStr">
        <is>
          <t>Tigari 15 iun</t>
        </is>
      </c>
      <c r="E6" s="36" t="n">
        <v>26.5</v>
      </c>
      <c r="F6" s="52" t="inlineStr">
        <is>
          <t>Cash</t>
        </is>
      </c>
    </row>
    <row r="7" ht="15" customHeight="1" s="30">
      <c r="B7" s="50" t="n">
        <v>46188</v>
      </c>
      <c r="C7" s="51" t="inlineStr">
        <is>
          <t>Diverse</t>
        </is>
      </c>
      <c r="D7" s="51" t="inlineStr">
        <is>
          <t>Vodafone - dezactivat Disney+/asig</t>
        </is>
      </c>
      <c r="E7" s="36" t="n">
        <v>0</v>
      </c>
      <c r="F7" s="52" t="inlineStr">
        <is>
          <t>Actiune</t>
        </is>
      </c>
    </row>
    <row r="8" ht="15" customHeight="1" s="30">
      <c r="B8" s="50" t="n">
        <v>46189</v>
      </c>
      <c r="C8" s="51" t="inlineStr">
        <is>
          <t>Diverse</t>
        </is>
      </c>
      <c r="D8" s="51" t="inlineStr">
        <is>
          <t>Orange - dezactivat apps digitale</t>
        </is>
      </c>
      <c r="E8" s="36" t="n">
        <v>0</v>
      </c>
      <c r="F8" s="52" t="inlineStr">
        <is>
          <t>Actiune</t>
        </is>
      </c>
    </row>
    <row r="9" ht="15" customHeight="1" s="30">
      <c r="B9" s="50" t="n">
        <v>46193</v>
      </c>
      <c r="C9" s="51" t="inlineStr">
        <is>
          <t>Mâncare &amp; Băuturi</t>
        </is>
      </c>
      <c r="D9" s="51" t="inlineStr">
        <is>
          <t>Paine + ulei (saptamana)</t>
        </is>
      </c>
      <c r="E9" s="36" t="n">
        <v>25</v>
      </c>
      <c r="F9" s="52" t="inlineStr">
        <is>
          <t>Cash</t>
        </is>
      </c>
    </row>
    <row r="10" ht="15" customHeight="1" s="30">
      <c r="B10" s="50" t="n">
        <v>46200</v>
      </c>
      <c r="C10" s="51" t="inlineStr">
        <is>
          <t>Mâncare &amp; Băuturi</t>
        </is>
      </c>
      <c r="D10" s="51" t="inlineStr">
        <is>
          <t>Paine + ulei (saptamana)</t>
        </is>
      </c>
      <c r="E10" s="36" t="n">
        <v>25</v>
      </c>
      <c r="F10" s="52" t="inlineStr">
        <is>
          <t>Cash</t>
        </is>
      </c>
    </row>
    <row r="11" ht="15" customHeight="1" s="30">
      <c r="B11" s="50" t="n">
        <v>46203</v>
      </c>
      <c r="C11" s="51" t="inlineStr">
        <is>
          <t>Diverse</t>
        </is>
      </c>
      <c r="D11" s="51" t="inlineStr">
        <is>
          <t>Credit auto rata iulie</t>
        </is>
      </c>
      <c r="E11" s="36" t="n">
        <v>800</v>
      </c>
      <c r="F11" s="52" t="inlineStr">
        <is>
          <t>Transfer</t>
        </is>
      </c>
    </row>
    <row r="12" ht="15" customHeight="1" s="30">
      <c r="B12" s="50" t="n">
        <v>46203</v>
      </c>
      <c r="C12" s="51" t="inlineStr">
        <is>
          <t>Diverse</t>
        </is>
      </c>
      <c r="D12" s="51" t="inlineStr">
        <is>
          <t>Vodafone factura</t>
        </is>
      </c>
      <c r="E12" s="36" t="n">
        <v>544</v>
      </c>
      <c r="F12" s="52" t="inlineStr">
        <is>
          <t>Card</t>
        </is>
      </c>
    </row>
    <row r="13" ht="15" customHeight="1" s="30">
      <c r="B13" s="50" t="n">
        <v>46203</v>
      </c>
      <c r="C13" s="51" t="inlineStr">
        <is>
          <t>Diverse</t>
        </is>
      </c>
      <c r="D13" s="51" t="inlineStr">
        <is>
          <t>Orange factura</t>
        </is>
      </c>
      <c r="E13" s="36" t="n">
        <v>553</v>
      </c>
      <c r="F13" s="52" t="inlineStr">
        <is>
          <t>Card</t>
        </is>
      </c>
    </row>
    <row r="14" ht="15" customHeight="1" s="30">
      <c r="B14" s="50" t="n">
        <v>46203</v>
      </c>
      <c r="C14" s="51" t="inlineStr">
        <is>
          <t>Diverse</t>
        </is>
      </c>
      <c r="D14" s="51" t="inlineStr">
        <is>
          <t>eMag rate</t>
        </is>
      </c>
      <c r="E14" s="36" t="n">
        <v>534</v>
      </c>
      <c r="F14" s="52" t="inlineStr">
        <is>
          <t>Card</t>
        </is>
      </c>
    </row>
    <row r="15" ht="15" customHeight="1" s="30">
      <c r="B15" s="50" t="n">
        <v>46203</v>
      </c>
      <c r="C15" s="51" t="inlineStr">
        <is>
          <t>Transport (combustibil, STB)</t>
        </is>
      </c>
      <c r="D15" s="51" t="inlineStr">
        <is>
          <t>STB abonament</t>
        </is>
      </c>
      <c r="E15" s="36" t="n">
        <v>160</v>
      </c>
      <c r="F15" s="52" t="inlineStr">
        <is>
          <t>Card</t>
        </is>
      </c>
    </row>
    <row r="16" ht="15" customHeight="1" s="30">
      <c r="B16" s="50" t="n"/>
      <c r="C16" s="51" t="n"/>
      <c r="D16" s="51" t="n"/>
      <c r="E16" s="36" t="n"/>
      <c r="F16" s="52" t="n"/>
    </row>
    <row r="17" ht="15" customHeight="1" s="30">
      <c r="B17" s="50" t="n"/>
      <c r="C17" s="51" t="n"/>
      <c r="D17" s="51" t="n"/>
      <c r="E17" s="36" t="n"/>
      <c r="F17" s="52" t="n"/>
    </row>
    <row r="18" ht="15" customHeight="1" s="30">
      <c r="B18" s="50" t="n"/>
      <c r="C18" s="51" t="n"/>
      <c r="D18" s="51" t="n"/>
      <c r="E18" s="36" t="n"/>
      <c r="F18" s="52" t="n"/>
    </row>
    <row r="19" ht="15" customHeight="1" s="30">
      <c r="B19" s="50" t="n"/>
      <c r="C19" s="51" t="n"/>
      <c r="D19" s="51" t="n"/>
      <c r="E19" s="36" t="n"/>
      <c r="F19" s="52" t="n"/>
    </row>
    <row r="20" ht="15" customHeight="1" s="30">
      <c r="B20" s="50" t="n"/>
      <c r="C20" s="51" t="n"/>
      <c r="D20" s="51" t="n"/>
      <c r="E20" s="36" t="n"/>
      <c r="F20" s="52" t="n"/>
    </row>
    <row r="21" ht="15" customHeight="1" s="30">
      <c r="B21" s="50" t="n"/>
      <c r="C21" s="51" t="n"/>
      <c r="D21" s="51" t="n"/>
      <c r="E21" s="36" t="n"/>
      <c r="F21" s="52" t="n"/>
    </row>
    <row r="22" ht="15" customHeight="1" s="30">
      <c r="B22" s="50" t="n"/>
      <c r="C22" s="51" t="n"/>
      <c r="D22" s="51" t="n"/>
      <c r="E22" s="36" t="n"/>
      <c r="F22" s="52" t="n"/>
    </row>
    <row r="23" ht="15" customHeight="1" s="30">
      <c r="B23" s="50" t="n"/>
      <c r="C23" s="51" t="n"/>
      <c r="D23" s="51" t="n"/>
      <c r="E23" s="36" t="n"/>
      <c r="F23" s="52" t="n"/>
    </row>
    <row r="24" ht="15" customHeight="1" s="30">
      <c r="B24" s="50" t="n"/>
      <c r="C24" s="51" t="n"/>
      <c r="D24" s="51" t="n"/>
      <c r="E24" s="36" t="n"/>
      <c r="F24" s="52" t="n"/>
    </row>
    <row r="25" ht="15" customHeight="1" s="30">
      <c r="B25" s="50" t="n"/>
      <c r="C25" s="51" t="n"/>
      <c r="D25" s="51" t="n"/>
      <c r="E25" s="36" t="n"/>
      <c r="F25" s="52" t="n"/>
    </row>
    <row r="26" ht="15" customHeight="1" s="30">
      <c r="B26" s="50" t="n"/>
      <c r="C26" s="51" t="n"/>
      <c r="D26" s="51" t="n"/>
      <c r="E26" s="36" t="n"/>
      <c r="F26" s="52" t="n"/>
    </row>
    <row r="27" ht="15" customHeight="1" s="30">
      <c r="B27" s="50" t="n"/>
      <c r="C27" s="51" t="n"/>
      <c r="D27" s="51" t="n"/>
      <c r="E27" s="36" t="n"/>
      <c r="F27" s="52" t="n"/>
    </row>
    <row r="28" ht="15" customHeight="1" s="30">
      <c r="B28" s="50" t="n"/>
      <c r="C28" s="51" t="n"/>
      <c r="D28" s="51" t="n"/>
      <c r="E28" s="36" t="n"/>
      <c r="F28" s="52" t="n"/>
    </row>
    <row r="29" ht="15" customHeight="1" s="30">
      <c r="B29" s="50" t="n"/>
      <c r="C29" s="51" t="n"/>
      <c r="D29" s="51" t="n"/>
      <c r="E29" s="36" t="n"/>
      <c r="F29" s="52" t="n"/>
    </row>
    <row r="30" ht="15" customHeight="1" s="30">
      <c r="B30" s="50" t="n"/>
      <c r="C30" s="51" t="n"/>
      <c r="D30" s="51" t="n"/>
      <c r="E30" s="36" t="n"/>
      <c r="F30" s="52" t="n"/>
    </row>
    <row r="31" ht="15" customHeight="1" s="30">
      <c r="B31" s="50" t="n"/>
      <c r="C31" s="51" t="n"/>
      <c r="D31" s="51" t="n"/>
      <c r="E31" s="36" t="n"/>
      <c r="F31" s="52" t="n"/>
    </row>
    <row r="32" ht="15" customHeight="1" s="30">
      <c r="B32" s="50" t="n"/>
      <c r="C32" s="51" t="n"/>
      <c r="D32" s="51" t="n"/>
      <c r="E32" s="36" t="n"/>
      <c r="F32" s="52" t="n"/>
    </row>
    <row r="33" ht="15" customHeight="1" s="30">
      <c r="B33" s="50" t="n"/>
      <c r="C33" s="51" t="n"/>
      <c r="D33" s="51" t="n"/>
      <c r="E33" s="36" t="n"/>
      <c r="F33" s="52" t="n"/>
    </row>
    <row r="34" ht="15" customHeight="1" s="30">
      <c r="B34" s="50" t="n"/>
      <c r="C34" s="51" t="n"/>
      <c r="D34" s="51" t="n"/>
      <c r="E34" s="36" t="n"/>
      <c r="F34" s="52" t="n"/>
    </row>
    <row r="35" ht="15" customHeight="1" s="30">
      <c r="B35" s="50" t="n"/>
      <c r="C35" s="51" t="n"/>
      <c r="D35" s="51" t="n"/>
      <c r="E35" s="36" t="n"/>
      <c r="F35" s="52" t="n"/>
    </row>
    <row r="36" ht="15" customHeight="1" s="30">
      <c r="B36" s="50" t="n"/>
      <c r="C36" s="51" t="n"/>
      <c r="D36" s="51" t="n"/>
      <c r="E36" s="36" t="n"/>
      <c r="F36" s="52" t="n"/>
    </row>
    <row r="37" ht="15" customHeight="1" s="30">
      <c r="B37" s="50" t="n"/>
      <c r="C37" s="51" t="n"/>
      <c r="D37" s="51" t="n"/>
      <c r="E37" s="36" t="n"/>
      <c r="F37" s="52" t="n"/>
    </row>
    <row r="38" ht="15" customHeight="1" s="30">
      <c r="B38" s="50" t="n"/>
      <c r="C38" s="51" t="n"/>
      <c r="D38" s="51" t="n"/>
      <c r="E38" s="36" t="n"/>
      <c r="F38" s="52" t="n"/>
    </row>
    <row r="39" ht="15" customHeight="1" s="30">
      <c r="B39" s="50" t="n"/>
      <c r="C39" s="51" t="n"/>
      <c r="D39" s="51" t="n"/>
      <c r="E39" s="36" t="n"/>
      <c r="F39" s="52" t="n"/>
    </row>
    <row r="40" ht="15" customHeight="1" s="30">
      <c r="B40" s="50" t="n"/>
      <c r="C40" s="51" t="n"/>
      <c r="D40" s="51" t="n"/>
      <c r="E40" s="36" t="n"/>
      <c r="F40" s="52" t="n"/>
    </row>
    <row r="41" ht="15" customHeight="1" s="30">
      <c r="B41" s="50" t="n"/>
      <c r="C41" s="51" t="n"/>
      <c r="D41" s="51" t="n"/>
      <c r="E41" s="36" t="n"/>
      <c r="F41" s="52" t="n"/>
    </row>
    <row r="42" ht="15" customHeight="1" s="30">
      <c r="B42" s="50" t="n"/>
      <c r="C42" s="51" t="n"/>
      <c r="D42" s="51" t="n"/>
      <c r="E42" s="36" t="n"/>
      <c r="F42" s="52" t="n"/>
    </row>
    <row r="43" ht="15" customHeight="1" s="30">
      <c r="B43" s="50" t="n"/>
      <c r="C43" s="51" t="n"/>
      <c r="D43" s="51" t="n"/>
      <c r="E43" s="36" t="n"/>
      <c r="F43" s="52" t="n"/>
    </row>
    <row r="44" ht="15" customHeight="1" s="30">
      <c r="B44" s="50" t="n"/>
      <c r="C44" s="51" t="n"/>
      <c r="D44" s="51" t="n"/>
      <c r="E44" s="36" t="n"/>
      <c r="F44" s="52" t="n"/>
    </row>
    <row r="45" ht="15" customHeight="1" s="30">
      <c r="B45" s="50" t="n"/>
      <c r="C45" s="51" t="n"/>
      <c r="D45" s="51" t="n"/>
      <c r="E45" s="36" t="n"/>
      <c r="F45" s="52" t="n"/>
    </row>
    <row r="46" ht="15" customHeight="1" s="30">
      <c r="B46" s="50" t="n"/>
      <c r="C46" s="51" t="n"/>
      <c r="D46" s="51" t="n"/>
      <c r="E46" s="36" t="n"/>
      <c r="F46" s="52" t="n"/>
    </row>
    <row r="47" ht="15" customHeight="1" s="30">
      <c r="B47" s="50" t="n"/>
      <c r="C47" s="51" t="n"/>
      <c r="D47" s="51" t="n"/>
      <c r="E47" s="36" t="n"/>
      <c r="F47" s="52" t="n"/>
    </row>
    <row r="48" ht="15" customHeight="1" s="30">
      <c r="B48" s="50" t="n"/>
      <c r="C48" s="51" t="n"/>
      <c r="D48" s="51" t="n"/>
      <c r="E48" s="36" t="n"/>
      <c r="F48" s="52" t="n"/>
    </row>
    <row r="49" ht="15" customHeight="1" s="30">
      <c r="B49" s="50" t="n"/>
      <c r="C49" s="51" t="n"/>
      <c r="D49" s="51" t="n"/>
      <c r="E49" s="36" t="n"/>
      <c r="F49" s="52" t="n"/>
    </row>
    <row r="50" ht="15" customHeight="1" s="30">
      <c r="B50" s="50" t="n"/>
      <c r="C50" s="51" t="n"/>
      <c r="D50" s="51" t="n"/>
      <c r="E50" s="36" t="n"/>
      <c r="F50" s="52" t="n"/>
    </row>
    <row r="51" ht="15" customHeight="1" s="30">
      <c r="B51" s="50" t="n"/>
      <c r="C51" s="51" t="n"/>
      <c r="D51" s="51" t="n"/>
      <c r="E51" s="36" t="n"/>
      <c r="F51" s="52" t="n"/>
    </row>
    <row r="52" ht="15" customHeight="1" s="30">
      <c r="B52" s="50" t="n"/>
      <c r="C52" s="51" t="n"/>
      <c r="D52" s="51" t="n"/>
      <c r="E52" s="36" t="n"/>
      <c r="F52" s="52" t="n"/>
    </row>
    <row r="53" ht="15" customHeight="1" s="30">
      <c r="B53" s="50" t="n"/>
      <c r="C53" s="51" t="n"/>
      <c r="D53" s="51" t="n"/>
      <c r="E53" s="36" t="n"/>
      <c r="F53" s="52" t="n"/>
    </row>
    <row r="54" ht="15" customHeight="1" s="30">
      <c r="B54" s="50" t="n"/>
      <c r="C54" s="51" t="n"/>
      <c r="D54" s="51" t="n"/>
      <c r="E54" s="36" t="n"/>
      <c r="F54" s="52" t="n"/>
    </row>
    <row r="55" ht="15" customHeight="1" s="30">
      <c r="B55" s="50" t="n"/>
      <c r="C55" s="51" t="n"/>
      <c r="D55" s="51" t="n"/>
      <c r="E55" s="36" t="n"/>
      <c r="F55" s="52" t="n"/>
    </row>
    <row r="56" ht="15" customHeight="1" s="30">
      <c r="B56" s="50" t="n"/>
      <c r="C56" s="51" t="n"/>
      <c r="D56" s="51" t="n"/>
      <c r="E56" s="36" t="n"/>
      <c r="F56" s="52" t="n"/>
    </row>
    <row r="57" ht="15" customHeight="1" s="30">
      <c r="B57" s="50" t="n"/>
      <c r="C57" s="51" t="n"/>
      <c r="D57" s="51" t="n"/>
      <c r="E57" s="36" t="n"/>
      <c r="F57" s="52" t="n"/>
    </row>
    <row r="58" ht="15" customHeight="1" s="30">
      <c r="B58" s="50" t="n"/>
      <c r="C58" s="51" t="n"/>
      <c r="D58" s="51" t="n"/>
      <c r="E58" s="36" t="n"/>
      <c r="F58" s="52" t="n"/>
    </row>
    <row r="59" ht="15" customHeight="1" s="30">
      <c r="B59" s="50" t="n"/>
      <c r="C59" s="51" t="n"/>
      <c r="D59" s="51" t="n"/>
      <c r="E59" s="36" t="n"/>
      <c r="F59" s="52" t="n"/>
    </row>
    <row r="60" ht="15" customHeight="1" s="30">
      <c r="B60" s="50" t="n"/>
      <c r="C60" s="51" t="n"/>
      <c r="D60" s="51" t="n"/>
      <c r="E60" s="36" t="n"/>
      <c r="F60" s="52" t="n"/>
    </row>
    <row r="61" ht="15" customHeight="1" s="30">
      <c r="B61" s="50" t="n"/>
      <c r="C61" s="51" t="n"/>
      <c r="D61" s="51" t="n"/>
      <c r="E61" s="36" t="n"/>
      <c r="F61" s="52" t="n"/>
    </row>
    <row r="62" ht="15" customHeight="1" s="30">
      <c r="B62" s="50" t="n"/>
      <c r="C62" s="51" t="n"/>
      <c r="D62" s="51" t="n"/>
      <c r="E62" s="36" t="n"/>
      <c r="F62" s="52" t="n"/>
    </row>
    <row r="63" ht="15" customHeight="1" s="30">
      <c r="B63" s="50" t="n"/>
      <c r="C63" s="51" t="n"/>
      <c r="D63" s="51" t="n"/>
      <c r="E63" s="36" t="n"/>
      <c r="F63" s="52" t="n"/>
    </row>
    <row r="64" ht="15" customHeight="1" s="30">
      <c r="B64" s="50" t="n"/>
      <c r="C64" s="51" t="n"/>
      <c r="D64" s="51" t="n"/>
      <c r="E64" s="36" t="n"/>
      <c r="F64" s="52" t="n"/>
    </row>
    <row r="65" ht="15" customHeight="1" s="30">
      <c r="B65" s="50" t="n"/>
      <c r="C65" s="51" t="n"/>
      <c r="D65" s="51" t="n"/>
      <c r="E65" s="36" t="n"/>
      <c r="F65" s="52" t="n"/>
    </row>
    <row r="66" ht="15" customHeight="1" s="30">
      <c r="B66" s="50" t="n"/>
      <c r="C66" s="51" t="n"/>
      <c r="D66" s="51" t="n"/>
      <c r="E66" s="36" t="n"/>
      <c r="F66" s="52" t="n"/>
    </row>
    <row r="67" ht="15" customHeight="1" s="30">
      <c r="B67" s="50" t="n"/>
      <c r="C67" s="51" t="n"/>
      <c r="D67" s="51" t="n"/>
      <c r="E67" s="36" t="n"/>
      <c r="F67" s="52" t="n"/>
    </row>
    <row r="68" ht="15" customHeight="1" s="30">
      <c r="B68" s="50" t="n"/>
      <c r="C68" s="51" t="n"/>
      <c r="D68" s="51" t="n"/>
      <c r="E68" s="36" t="n"/>
      <c r="F68" s="52" t="n"/>
    </row>
    <row r="69" ht="15" customHeight="1" s="30">
      <c r="B69" s="50" t="n"/>
      <c r="C69" s="51" t="n"/>
      <c r="D69" s="51" t="n"/>
      <c r="E69" s="36" t="n"/>
      <c r="F69" s="52" t="n"/>
    </row>
    <row r="70" ht="15" customHeight="1" s="30">
      <c r="B70" s="50" t="n"/>
      <c r="C70" s="51" t="n"/>
      <c r="D70" s="51" t="n"/>
      <c r="E70" s="36" t="n"/>
      <c r="F70" s="52" t="n"/>
    </row>
    <row r="71" ht="15" customHeight="1" s="30">
      <c r="B71" s="50" t="n"/>
      <c r="C71" s="51" t="n"/>
      <c r="D71" s="51" t="n"/>
      <c r="E71" s="36" t="n"/>
      <c r="F71" s="52" t="n"/>
    </row>
    <row r="72" ht="15" customHeight="1" s="30">
      <c r="B72" s="50" t="n"/>
      <c r="C72" s="51" t="n"/>
      <c r="D72" s="51" t="n"/>
      <c r="E72" s="36" t="n"/>
      <c r="F72" s="52" t="n"/>
    </row>
    <row r="73" ht="15" customHeight="1" s="30">
      <c r="B73" s="50" t="n"/>
      <c r="C73" s="51" t="n"/>
      <c r="D73" s="51" t="n"/>
      <c r="E73" s="36" t="n"/>
      <c r="F73" s="52" t="n"/>
    </row>
    <row r="74" ht="15" customHeight="1" s="30">
      <c r="B74" s="50" t="n"/>
      <c r="C74" s="51" t="n"/>
      <c r="D74" s="51" t="n"/>
      <c r="E74" s="36" t="n"/>
      <c r="F74" s="52" t="n"/>
    </row>
    <row r="75" ht="15" customHeight="1" s="30">
      <c r="B75" s="50" t="n"/>
      <c r="C75" s="51" t="n"/>
      <c r="D75" s="51" t="n"/>
      <c r="E75" s="36" t="n"/>
      <c r="F75" s="52" t="n"/>
    </row>
    <row r="76" ht="15" customHeight="1" s="30">
      <c r="B76" s="50" t="n"/>
      <c r="C76" s="51" t="n"/>
      <c r="D76" s="51" t="n"/>
      <c r="E76" s="36" t="n"/>
      <c r="F76" s="52" t="n"/>
    </row>
    <row r="77" ht="15" customHeight="1" s="30">
      <c r="B77" s="50" t="n"/>
      <c r="C77" s="51" t="n"/>
      <c r="D77" s="51" t="n"/>
      <c r="E77" s="36" t="n"/>
      <c r="F77" s="52" t="n"/>
    </row>
    <row r="78" ht="15" customHeight="1" s="30">
      <c r="B78" s="50" t="n"/>
      <c r="C78" s="51" t="n"/>
      <c r="D78" s="51" t="n"/>
      <c r="E78" s="36" t="n"/>
      <c r="F78" s="52" t="n"/>
    </row>
    <row r="79" ht="15" customHeight="1" s="30">
      <c r="B79" s="50" t="n"/>
      <c r="C79" s="51" t="n"/>
      <c r="D79" s="51" t="n"/>
      <c r="E79" s="36" t="n"/>
      <c r="F79" s="52" t="n"/>
    </row>
    <row r="80" ht="15" customHeight="1" s="30">
      <c r="B80" s="50" t="n"/>
      <c r="C80" s="51" t="n"/>
      <c r="D80" s="51" t="n"/>
      <c r="E80" s="36" t="n"/>
      <c r="F80" s="52" t="n"/>
    </row>
    <row r="81" ht="15" customHeight="1" s="30">
      <c r="B81" s="50" t="n"/>
      <c r="C81" s="51" t="n"/>
      <c r="D81" s="51" t="n"/>
      <c r="E81" s="36" t="n"/>
      <c r="F81" s="52" t="n"/>
    </row>
    <row r="82" ht="15" customHeight="1" s="30">
      <c r="B82" s="50" t="n"/>
      <c r="C82" s="51" t="n"/>
      <c r="D82" s="51" t="n"/>
      <c r="E82" s="36" t="n"/>
      <c r="F82" s="52" t="n"/>
    </row>
    <row r="83" ht="15" customHeight="1" s="30">
      <c r="B83" s="50" t="n"/>
      <c r="C83" s="51" t="n"/>
      <c r="D83" s="51" t="n"/>
      <c r="E83" s="36" t="n"/>
      <c r="F83" s="52" t="n"/>
    </row>
    <row r="84" ht="15" customHeight="1" s="30">
      <c r="B84" s="50" t="n"/>
      <c r="C84" s="51" t="n"/>
      <c r="D84" s="51" t="n"/>
      <c r="E84" s="36" t="n"/>
      <c r="F84" s="52" t="n"/>
    </row>
    <row r="85" ht="15" customHeight="1" s="30">
      <c r="B85" s="50" t="n"/>
      <c r="C85" s="51" t="n"/>
      <c r="D85" s="51" t="n"/>
      <c r="E85" s="36" t="n"/>
      <c r="F85" s="52" t="n"/>
    </row>
    <row r="86" ht="15" customHeight="1" s="30">
      <c r="B86" s="50" t="n"/>
      <c r="C86" s="51" t="n"/>
      <c r="D86" s="51" t="n"/>
      <c r="E86" s="36" t="n"/>
      <c r="F86" s="52" t="n"/>
    </row>
    <row r="87" ht="15" customHeight="1" s="30">
      <c r="B87" s="50" t="n"/>
      <c r="C87" s="51" t="n"/>
      <c r="D87" s="51" t="n"/>
      <c r="E87" s="36" t="n"/>
      <c r="F87" s="52" t="n"/>
    </row>
    <row r="88" ht="15" customHeight="1" s="30">
      <c r="B88" s="50" t="n"/>
      <c r="C88" s="51" t="n"/>
      <c r="D88" s="51" t="n"/>
      <c r="E88" s="36" t="n"/>
      <c r="F88" s="52" t="n"/>
    </row>
    <row r="89" ht="15" customHeight="1" s="30">
      <c r="B89" s="50" t="n"/>
      <c r="C89" s="51" t="n"/>
      <c r="D89" s="51" t="n"/>
      <c r="E89" s="36" t="n"/>
      <c r="F89" s="52" t="n"/>
    </row>
    <row r="90" ht="15" customHeight="1" s="30">
      <c r="B90" s="50" t="n"/>
      <c r="C90" s="51" t="n"/>
      <c r="D90" s="51" t="n"/>
      <c r="E90" s="36" t="n"/>
      <c r="F90" s="52" t="n"/>
    </row>
    <row r="91" ht="15" customHeight="1" s="30">
      <c r="B91" s="50" t="n"/>
      <c r="C91" s="51" t="n"/>
      <c r="D91" s="51" t="n"/>
      <c r="E91" s="36" t="n"/>
      <c r="F91" s="52" t="n"/>
    </row>
    <row r="92" ht="15" customHeight="1" s="30">
      <c r="B92" s="50" t="n"/>
      <c r="C92" s="51" t="n"/>
      <c r="D92" s="51" t="n"/>
      <c r="E92" s="36" t="n"/>
      <c r="F92" s="52" t="n"/>
    </row>
    <row r="93" ht="15" customHeight="1" s="30">
      <c r="B93" s="50" t="n"/>
      <c r="C93" s="51" t="n"/>
      <c r="D93" s="51" t="n"/>
      <c r="E93" s="36" t="n"/>
      <c r="F93" s="52" t="n"/>
    </row>
    <row r="94" ht="15" customHeight="1" s="30">
      <c r="B94" s="50" t="n"/>
      <c r="C94" s="51" t="n"/>
      <c r="D94" s="51" t="n"/>
      <c r="E94" s="36" t="n"/>
      <c r="F94" s="52" t="n"/>
    </row>
    <row r="95" ht="15" customHeight="1" s="30">
      <c r="B95" s="50" t="n"/>
      <c r="C95" s="51" t="n"/>
      <c r="D95" s="51" t="n"/>
      <c r="E95" s="36" t="n"/>
      <c r="F95" s="52" t="n"/>
    </row>
    <row r="96" ht="15" customHeight="1" s="30">
      <c r="B96" s="50" t="n"/>
      <c r="C96" s="51" t="n"/>
      <c r="D96" s="51" t="n"/>
      <c r="E96" s="36" t="n"/>
      <c r="F96" s="52" t="n"/>
    </row>
    <row r="97" ht="15" customHeight="1" s="30">
      <c r="B97" s="50" t="n"/>
      <c r="C97" s="51" t="n"/>
      <c r="D97" s="51" t="n"/>
      <c r="E97" s="36" t="n"/>
      <c r="F97" s="52" t="n"/>
    </row>
    <row r="98" ht="15" customHeight="1" s="30">
      <c r="B98" s="50" t="n"/>
      <c r="C98" s="51" t="n"/>
      <c r="D98" s="51" t="n"/>
      <c r="E98" s="36" t="n"/>
      <c r="F98" s="52" t="n"/>
    </row>
    <row r="99" ht="15" customHeight="1" s="30">
      <c r="B99" s="50" t="n"/>
      <c r="C99" s="51" t="n"/>
      <c r="D99" s="51" t="n"/>
      <c r="E99" s="36" t="n"/>
      <c r="F99" s="52" t="n"/>
    </row>
    <row r="100" ht="15" customHeight="1" s="30">
      <c r="B100" s="50" t="n"/>
      <c r="C100" s="51" t="n"/>
      <c r="D100" s="51" t="n"/>
      <c r="E100" s="36" t="n"/>
      <c r="F100" s="52" t="n"/>
    </row>
    <row r="101" ht="15" customHeight="1" s="30">
      <c r="B101" s="50" t="n"/>
      <c r="C101" s="51" t="n"/>
      <c r="D101" s="51" t="n"/>
      <c r="E101" s="36" t="n"/>
      <c r="F101" s="52" t="n"/>
    </row>
    <row r="102" ht="15" customHeight="1" s="30">
      <c r="B102" s="50" t="n"/>
      <c r="C102" s="51" t="n"/>
      <c r="D102" s="51" t="n"/>
      <c r="E102" s="36" t="n"/>
      <c r="F102" s="52" t="n"/>
    </row>
    <row r="103" ht="15" customHeight="1" s="30">
      <c r="B103" s="50" t="n"/>
      <c r="C103" s="51" t="n"/>
      <c r="D103" s="51" t="n"/>
      <c r="E103" s="36" t="n"/>
      <c r="F103" s="52" t="n"/>
    </row>
    <row r="104" ht="15" customHeight="1" s="30">
      <c r="B104" s="50" t="n"/>
      <c r="C104" s="51" t="n"/>
      <c r="D104" s="51" t="n"/>
      <c r="E104" s="36" t="n"/>
      <c r="F104" s="52" t="n"/>
    </row>
    <row r="105" ht="15" customHeight="1" s="30">
      <c r="B105" s="50" t="n"/>
      <c r="C105" s="51" t="n"/>
      <c r="D105" s="51" t="n"/>
      <c r="E105" s="36" t="n"/>
      <c r="F105" s="52" t="n"/>
    </row>
    <row r="106" ht="15" customHeight="1" s="30">
      <c r="B106" s="50" t="n"/>
      <c r="C106" s="51" t="n"/>
      <c r="D106" s="51" t="n"/>
      <c r="E106" s="36" t="n"/>
      <c r="F106" s="52" t="n"/>
    </row>
    <row r="107" ht="15" customHeight="1" s="30">
      <c r="B107" s="50" t="n"/>
      <c r="C107" s="51" t="n"/>
      <c r="D107" s="51" t="n"/>
      <c r="E107" s="36" t="n"/>
      <c r="F107" s="52" t="n"/>
    </row>
    <row r="108" ht="15" customHeight="1" s="30">
      <c r="B108" s="50" t="n"/>
      <c r="C108" s="51" t="n"/>
      <c r="D108" s="51" t="n"/>
      <c r="E108" s="36" t="n"/>
      <c r="F108" s="52" t="n"/>
    </row>
    <row r="109" ht="15" customHeight="1" s="30">
      <c r="B109" s="50" t="n"/>
      <c r="C109" s="51" t="n"/>
      <c r="D109" s="51" t="n"/>
      <c r="E109" s="36" t="n"/>
      <c r="F109" s="52" t="n"/>
    </row>
    <row r="110" ht="15" customHeight="1" s="30">
      <c r="B110" s="50" t="n"/>
      <c r="C110" s="51" t="n"/>
      <c r="D110" s="51" t="n"/>
      <c r="E110" s="36" t="n"/>
      <c r="F110" s="52" t="n"/>
    </row>
    <row r="111" ht="15" customHeight="1" s="30">
      <c r="B111" s="50" t="n"/>
      <c r="C111" s="51" t="n"/>
      <c r="D111" s="51" t="n"/>
      <c r="E111" s="36" t="n"/>
      <c r="F111" s="52" t="n"/>
    </row>
    <row r="112" ht="15" customHeight="1" s="30">
      <c r="B112" s="50" t="n"/>
      <c r="C112" s="51" t="n"/>
      <c r="D112" s="51" t="n"/>
      <c r="E112" s="36" t="n"/>
      <c r="F112" s="52" t="n"/>
    </row>
    <row r="113" ht="15" customHeight="1" s="30">
      <c r="B113" s="50" t="n"/>
      <c r="C113" s="51" t="n"/>
      <c r="D113" s="51" t="n"/>
      <c r="E113" s="36" t="n"/>
      <c r="F113" s="52" t="n"/>
    </row>
    <row r="114" ht="15" customHeight="1" s="30">
      <c r="B114" s="50" t="n"/>
      <c r="C114" s="51" t="n"/>
      <c r="D114" s="51" t="n"/>
      <c r="E114" s="36" t="n"/>
      <c r="F114" s="52" t="n"/>
    </row>
    <row r="115" ht="15" customHeight="1" s="30">
      <c r="B115" s="50" t="n"/>
      <c r="C115" s="51" t="n"/>
      <c r="D115" s="51" t="n"/>
      <c r="E115" s="36" t="n"/>
      <c r="F115" s="52" t="n"/>
    </row>
    <row r="116" ht="15" customHeight="1" s="30">
      <c r="B116" s="50" t="n"/>
      <c r="C116" s="51" t="n"/>
      <c r="D116" s="51" t="n"/>
      <c r="E116" s="36" t="n"/>
      <c r="F116" s="52" t="n"/>
    </row>
    <row r="117" ht="15" customHeight="1" s="30">
      <c r="B117" s="50" t="n"/>
      <c r="C117" s="51" t="n"/>
      <c r="D117" s="51" t="n"/>
      <c r="E117" s="36" t="n"/>
      <c r="F117" s="52" t="n"/>
    </row>
    <row r="118" ht="15" customHeight="1" s="30">
      <c r="B118" s="50" t="n"/>
      <c r="C118" s="51" t="n"/>
      <c r="D118" s="51" t="n"/>
      <c r="E118" s="36" t="n"/>
      <c r="F118" s="52" t="n"/>
    </row>
    <row r="119" ht="15" customHeight="1" s="30">
      <c r="B119" s="50" t="n"/>
      <c r="C119" s="51" t="n"/>
      <c r="D119" s="51" t="n"/>
      <c r="E119" s="36" t="n"/>
      <c r="F119" s="52" t="n"/>
    </row>
    <row r="120" ht="15" customHeight="1" s="30">
      <c r="B120" s="50" t="n"/>
      <c r="C120" s="51" t="n"/>
      <c r="D120" s="51" t="n"/>
      <c r="E120" s="36" t="n"/>
      <c r="F120" s="52" t="n"/>
    </row>
    <row r="121" ht="15" customHeight="1" s="30">
      <c r="B121" s="50" t="n"/>
      <c r="C121" s="51" t="n"/>
      <c r="D121" s="51" t="n"/>
      <c r="E121" s="36" t="n"/>
      <c r="F121" s="52" t="n"/>
    </row>
    <row r="122" ht="15" customHeight="1" s="30">
      <c r="B122" s="50" t="n"/>
      <c r="C122" s="51" t="n"/>
      <c r="D122" s="51" t="n"/>
      <c r="E122" s="36" t="n"/>
      <c r="F122" s="52" t="n"/>
    </row>
    <row r="123" ht="15" customHeight="1" s="30">
      <c r="B123" s="50" t="n"/>
      <c r="C123" s="51" t="n"/>
      <c r="D123" s="51" t="n"/>
      <c r="E123" s="36" t="n"/>
      <c r="F123" s="52" t="n"/>
    </row>
    <row r="124" ht="15" customHeight="1" s="30">
      <c r="B124" s="50" t="n"/>
      <c r="C124" s="51" t="n"/>
      <c r="D124" s="51" t="n"/>
      <c r="E124" s="36" t="n"/>
      <c r="F124" s="52" t="n"/>
    </row>
    <row r="125" ht="15" customHeight="1" s="30">
      <c r="B125" s="50" t="n"/>
      <c r="C125" s="51" t="n"/>
      <c r="D125" s="51" t="n"/>
      <c r="E125" s="36" t="n"/>
      <c r="F125" s="52" t="n"/>
    </row>
    <row r="126" ht="15" customHeight="1" s="30">
      <c r="B126" s="50" t="n"/>
      <c r="C126" s="51" t="n"/>
      <c r="D126" s="51" t="n"/>
      <c r="E126" s="36" t="n"/>
      <c r="F126" s="52" t="n"/>
    </row>
    <row r="127" ht="15" customHeight="1" s="30">
      <c r="B127" s="50" t="n"/>
      <c r="C127" s="51" t="n"/>
      <c r="D127" s="51" t="n"/>
      <c r="E127" s="36" t="n"/>
      <c r="F127" s="52" t="n"/>
    </row>
    <row r="128" ht="15" customHeight="1" s="30">
      <c r="B128" s="50" t="n"/>
      <c r="C128" s="51" t="n"/>
      <c r="D128" s="51" t="n"/>
      <c r="E128" s="36" t="n"/>
      <c r="F128" s="52" t="n"/>
    </row>
    <row r="129" ht="15" customHeight="1" s="30">
      <c r="B129" s="50" t="n"/>
      <c r="C129" s="51" t="n"/>
      <c r="D129" s="51" t="n"/>
      <c r="E129" s="36" t="n"/>
      <c r="F129" s="52" t="n"/>
    </row>
    <row r="130" ht="15" customHeight="1" s="30">
      <c r="B130" s="50" t="n"/>
      <c r="C130" s="51" t="n"/>
      <c r="D130" s="51" t="n"/>
      <c r="E130" s="36" t="n"/>
      <c r="F130" s="52" t="n"/>
    </row>
    <row r="131" ht="15" customHeight="1" s="30">
      <c r="B131" s="50" t="n"/>
      <c r="C131" s="51" t="n"/>
      <c r="D131" s="51" t="n"/>
      <c r="E131" s="36" t="n"/>
      <c r="F131" s="52" t="n"/>
    </row>
    <row r="132" ht="15" customHeight="1" s="30">
      <c r="B132" s="50" t="n"/>
      <c r="C132" s="51" t="n"/>
      <c r="D132" s="51" t="n"/>
      <c r="E132" s="36" t="n"/>
      <c r="F132" s="52" t="n"/>
    </row>
    <row r="133" ht="15" customHeight="1" s="30">
      <c r="B133" s="50" t="n"/>
      <c r="C133" s="51" t="n"/>
      <c r="D133" s="51" t="n"/>
      <c r="E133" s="36" t="n"/>
      <c r="F133" s="52" t="n"/>
    </row>
    <row r="134" ht="15" customHeight="1" s="30">
      <c r="B134" s="50" t="n"/>
      <c r="C134" s="51" t="n"/>
      <c r="D134" s="51" t="n"/>
      <c r="E134" s="36" t="n"/>
      <c r="F134" s="52" t="n"/>
    </row>
    <row r="135" ht="15" customHeight="1" s="30">
      <c r="B135" s="50" t="n"/>
      <c r="C135" s="51" t="n"/>
      <c r="D135" s="51" t="n"/>
      <c r="E135" s="36" t="n"/>
      <c r="F135" s="52" t="n"/>
    </row>
    <row r="136" ht="15" customHeight="1" s="30">
      <c r="B136" s="50" t="n"/>
      <c r="C136" s="51" t="n"/>
      <c r="D136" s="51" t="n"/>
      <c r="E136" s="36" t="n"/>
      <c r="F136" s="52" t="n"/>
    </row>
    <row r="137" ht="15" customHeight="1" s="30">
      <c r="B137" s="50" t="n"/>
      <c r="C137" s="51" t="n"/>
      <c r="D137" s="51" t="n"/>
      <c r="E137" s="36" t="n"/>
      <c r="F137" s="52" t="n"/>
    </row>
    <row r="138" ht="15" customHeight="1" s="30">
      <c r="B138" s="50" t="n"/>
      <c r="C138" s="51" t="n"/>
      <c r="D138" s="51" t="n"/>
      <c r="E138" s="36" t="n"/>
      <c r="F138" s="52" t="n"/>
    </row>
    <row r="139" ht="15" customHeight="1" s="30">
      <c r="B139" s="50" t="n"/>
      <c r="C139" s="51" t="n"/>
      <c r="D139" s="51" t="n"/>
      <c r="E139" s="36" t="n"/>
      <c r="F139" s="52" t="n"/>
    </row>
    <row r="140" ht="15" customHeight="1" s="30">
      <c r="B140" s="50" t="n"/>
      <c r="C140" s="51" t="n"/>
      <c r="D140" s="51" t="n"/>
      <c r="E140" s="36" t="n"/>
      <c r="F140" s="52" t="n"/>
    </row>
    <row r="141" ht="15" customHeight="1" s="30">
      <c r="B141" s="50" t="n"/>
      <c r="C141" s="51" t="n"/>
      <c r="D141" s="51" t="n"/>
      <c r="E141" s="36" t="n"/>
      <c r="F141" s="52" t="n"/>
    </row>
    <row r="142" ht="15" customHeight="1" s="30">
      <c r="B142" s="50" t="n"/>
      <c r="C142" s="51" t="n"/>
      <c r="D142" s="51" t="n"/>
      <c r="E142" s="36" t="n"/>
      <c r="F142" s="52" t="n"/>
    </row>
    <row r="143" ht="15" customHeight="1" s="30">
      <c r="B143" s="50" t="n"/>
      <c r="C143" s="51" t="n"/>
      <c r="D143" s="51" t="n"/>
      <c r="E143" s="36" t="n"/>
      <c r="F143" s="52" t="n"/>
    </row>
    <row r="144" ht="15" customHeight="1" s="30">
      <c r="B144" s="50" t="n"/>
      <c r="C144" s="51" t="n"/>
      <c r="D144" s="51" t="n"/>
      <c r="E144" s="36" t="n"/>
      <c r="F144" s="52" t="n"/>
    </row>
    <row r="145" ht="15" customHeight="1" s="30">
      <c r="B145" s="50" t="n"/>
      <c r="C145" s="51" t="n"/>
      <c r="D145" s="51" t="n"/>
      <c r="E145" s="36" t="n"/>
      <c r="F145" s="52" t="n"/>
    </row>
    <row r="146" ht="15" customHeight="1" s="30">
      <c r="B146" s="50" t="n"/>
      <c r="C146" s="51" t="n"/>
      <c r="D146" s="51" t="n"/>
      <c r="E146" s="36" t="n"/>
      <c r="F146" s="52" t="n"/>
    </row>
    <row r="147" ht="15" customHeight="1" s="30">
      <c r="B147" s="50" t="n"/>
      <c r="C147" s="51" t="n"/>
      <c r="D147" s="51" t="n"/>
      <c r="E147" s="36" t="n"/>
      <c r="F147" s="52" t="n"/>
    </row>
    <row r="148" ht="15" customHeight="1" s="30">
      <c r="B148" s="50" t="n"/>
      <c r="C148" s="51" t="n"/>
      <c r="D148" s="51" t="n"/>
      <c r="E148" s="36" t="n"/>
      <c r="F148" s="52" t="n"/>
    </row>
    <row r="149" ht="15" customHeight="1" s="30">
      <c r="B149" s="50" t="n"/>
      <c r="C149" s="51" t="n"/>
      <c r="D149" s="51" t="n"/>
      <c r="E149" s="36" t="n"/>
      <c r="F149" s="52" t="n"/>
    </row>
    <row r="150" ht="15" customHeight="1" s="30">
      <c r="B150" s="50" t="n"/>
      <c r="C150" s="51" t="n"/>
      <c r="D150" s="51" t="n"/>
      <c r="E150" s="36" t="n"/>
      <c r="F150" s="52" t="n"/>
    </row>
    <row r="151" ht="15" customHeight="1" s="30">
      <c r="B151" s="50" t="n"/>
      <c r="C151" s="51" t="n"/>
      <c r="D151" s="51" t="n"/>
      <c r="E151" s="36" t="n"/>
      <c r="F151" s="52" t="n"/>
    </row>
    <row r="152" ht="15" customHeight="1" s="30">
      <c r="B152" s="50" t="n"/>
      <c r="C152" s="51" t="n"/>
      <c r="D152" s="51" t="n"/>
      <c r="E152" s="36" t="n"/>
      <c r="F152" s="52" t="n"/>
    </row>
    <row r="153" ht="15" customHeight="1" s="30">
      <c r="B153" s="50" t="n"/>
      <c r="C153" s="51" t="n"/>
      <c r="D153" s="51" t="n"/>
      <c r="E153" s="36" t="n"/>
      <c r="F153" s="52" t="n"/>
    </row>
    <row r="154" ht="15" customHeight="1" s="30">
      <c r="B154" s="50" t="n"/>
      <c r="C154" s="51" t="n"/>
      <c r="D154" s="51" t="n"/>
      <c r="E154" s="36" t="n"/>
      <c r="F154" s="52" t="n"/>
    </row>
    <row r="155" ht="15" customHeight="1" s="30">
      <c r="B155" s="50" t="n"/>
      <c r="C155" s="51" t="n"/>
      <c r="D155" s="51" t="n"/>
      <c r="E155" s="36" t="n"/>
      <c r="F155" s="52" t="n"/>
    </row>
    <row r="156" ht="15" customHeight="1" s="30">
      <c r="B156" s="50" t="n"/>
      <c r="C156" s="51" t="n"/>
      <c r="D156" s="51" t="n"/>
      <c r="E156" s="36" t="n"/>
      <c r="F156" s="52" t="n"/>
    </row>
    <row r="157" ht="15" customHeight="1" s="30">
      <c r="B157" s="50" t="n"/>
      <c r="C157" s="51" t="n"/>
      <c r="D157" s="51" t="n"/>
      <c r="E157" s="36" t="n"/>
      <c r="F157" s="52" t="n"/>
    </row>
    <row r="158" ht="15" customHeight="1" s="30">
      <c r="B158" s="50" t="n"/>
      <c r="C158" s="51" t="n"/>
      <c r="D158" s="51" t="n"/>
      <c r="E158" s="36" t="n"/>
      <c r="F158" s="52" t="n"/>
    </row>
    <row r="159" ht="15" customHeight="1" s="30">
      <c r="B159" s="50" t="n"/>
      <c r="C159" s="51" t="n"/>
      <c r="D159" s="51" t="n"/>
      <c r="E159" s="36" t="n"/>
      <c r="F159" s="52" t="n"/>
    </row>
    <row r="160" ht="15" customHeight="1" s="30">
      <c r="B160" s="50" t="n"/>
      <c r="C160" s="51" t="n"/>
      <c r="D160" s="51" t="n"/>
      <c r="E160" s="36" t="n"/>
      <c r="F160" s="52" t="n"/>
    </row>
    <row r="161" ht="15" customHeight="1" s="30">
      <c r="B161" s="50" t="n"/>
      <c r="C161" s="51" t="n"/>
      <c r="D161" s="51" t="n"/>
      <c r="E161" s="36" t="n"/>
      <c r="F161" s="52" t="n"/>
    </row>
    <row r="162" ht="15" customHeight="1" s="30">
      <c r="B162" s="50" t="n"/>
      <c r="C162" s="51" t="n"/>
      <c r="D162" s="51" t="n"/>
      <c r="E162" s="36" t="n"/>
      <c r="F162" s="52" t="n"/>
    </row>
    <row r="163" ht="15" customHeight="1" s="30">
      <c r="B163" s="50" t="n"/>
      <c r="C163" s="51" t="n"/>
      <c r="D163" s="51" t="n"/>
      <c r="E163" s="36" t="n"/>
      <c r="F163" s="52" t="n"/>
    </row>
    <row r="164" ht="15" customHeight="1" s="30">
      <c r="B164" s="50" t="n"/>
      <c r="C164" s="51" t="n"/>
      <c r="D164" s="51" t="n"/>
      <c r="E164" s="36" t="n"/>
      <c r="F164" s="52" t="n"/>
    </row>
    <row r="165" ht="15" customHeight="1" s="30">
      <c r="B165" s="50" t="n"/>
      <c r="C165" s="51" t="n"/>
      <c r="D165" s="51" t="n"/>
      <c r="E165" s="36" t="n"/>
      <c r="F165" s="52" t="n"/>
    </row>
    <row r="166" ht="15" customHeight="1" s="30">
      <c r="B166" s="50" t="n"/>
      <c r="C166" s="51" t="n"/>
      <c r="D166" s="51" t="n"/>
      <c r="E166" s="36" t="n"/>
      <c r="F166" s="52" t="n"/>
    </row>
    <row r="167" ht="15" customHeight="1" s="30">
      <c r="B167" s="50" t="n"/>
      <c r="C167" s="51" t="n"/>
      <c r="D167" s="51" t="n"/>
      <c r="E167" s="36" t="n"/>
      <c r="F167" s="52" t="n"/>
    </row>
    <row r="168" ht="15" customHeight="1" s="30">
      <c r="B168" s="50" t="n"/>
      <c r="C168" s="51" t="n"/>
      <c r="D168" s="51" t="n"/>
      <c r="E168" s="36" t="n"/>
      <c r="F168" s="52" t="n"/>
    </row>
    <row r="169" ht="15" customHeight="1" s="30">
      <c r="B169" s="50" t="n"/>
      <c r="C169" s="51" t="n"/>
      <c r="D169" s="51" t="n"/>
      <c r="E169" s="36" t="n"/>
      <c r="F169" s="52" t="n"/>
    </row>
    <row r="170" ht="15" customHeight="1" s="30">
      <c r="B170" s="50" t="n"/>
      <c r="C170" s="51" t="n"/>
      <c r="D170" s="51" t="n"/>
      <c r="E170" s="36" t="n"/>
      <c r="F170" s="52" t="n"/>
    </row>
    <row r="171" ht="15" customHeight="1" s="30">
      <c r="B171" s="50" t="n"/>
      <c r="C171" s="51" t="n"/>
      <c r="D171" s="51" t="n"/>
      <c r="E171" s="36" t="n"/>
      <c r="F171" s="52" t="n"/>
    </row>
    <row r="172" ht="15" customHeight="1" s="30">
      <c r="B172" s="50" t="n"/>
      <c r="C172" s="51" t="n"/>
      <c r="D172" s="51" t="n"/>
      <c r="E172" s="36" t="n"/>
      <c r="F172" s="52" t="n"/>
    </row>
    <row r="173" ht="15" customHeight="1" s="30">
      <c r="B173" s="50" t="n"/>
      <c r="C173" s="51" t="n"/>
      <c r="D173" s="51" t="n"/>
      <c r="E173" s="36" t="n"/>
      <c r="F173" s="52" t="n"/>
    </row>
    <row r="174" ht="15" customHeight="1" s="30">
      <c r="B174" s="50" t="n"/>
      <c r="C174" s="51" t="n"/>
      <c r="D174" s="51" t="n"/>
      <c r="E174" s="36" t="n"/>
      <c r="F174" s="52" t="n"/>
    </row>
    <row r="175" ht="15" customHeight="1" s="30">
      <c r="B175" s="50" t="n"/>
      <c r="C175" s="51" t="n"/>
      <c r="D175" s="51" t="n"/>
      <c r="E175" s="36" t="n"/>
      <c r="F175" s="52" t="n"/>
    </row>
    <row r="176" ht="15" customHeight="1" s="30">
      <c r="B176" s="50" t="n"/>
      <c r="C176" s="51" t="n"/>
      <c r="D176" s="51" t="n"/>
      <c r="E176" s="36" t="n"/>
      <c r="F176" s="52" t="n"/>
    </row>
    <row r="177" ht="15" customHeight="1" s="30">
      <c r="B177" s="50" t="n"/>
      <c r="C177" s="51" t="n"/>
      <c r="D177" s="51" t="n"/>
      <c r="E177" s="36" t="n"/>
      <c r="F177" s="52" t="n"/>
    </row>
    <row r="178" ht="15" customHeight="1" s="30">
      <c r="B178" s="50" t="n"/>
      <c r="C178" s="51" t="n"/>
      <c r="D178" s="51" t="n"/>
      <c r="E178" s="36" t="n"/>
      <c r="F178" s="52" t="n"/>
    </row>
    <row r="179" ht="15" customHeight="1" s="30">
      <c r="B179" s="50" t="n"/>
      <c r="C179" s="51" t="n"/>
      <c r="D179" s="51" t="n"/>
      <c r="E179" s="36" t="n"/>
      <c r="F179" s="52" t="n"/>
    </row>
    <row r="180" ht="15" customHeight="1" s="30">
      <c r="B180" s="50" t="n"/>
      <c r="C180" s="51" t="n"/>
      <c r="D180" s="51" t="n"/>
      <c r="E180" s="36" t="n"/>
      <c r="F180" s="52" t="n"/>
    </row>
    <row r="181" ht="15" customHeight="1" s="30">
      <c r="B181" s="50" t="n"/>
      <c r="C181" s="51" t="n"/>
      <c r="D181" s="51" t="n"/>
      <c r="E181" s="36" t="n"/>
      <c r="F181" s="52" t="n"/>
    </row>
    <row r="182" ht="15" customHeight="1" s="30">
      <c r="B182" s="50" t="n"/>
      <c r="C182" s="51" t="n"/>
      <c r="D182" s="51" t="n"/>
      <c r="E182" s="36" t="n"/>
      <c r="F182" s="52" t="n"/>
    </row>
    <row r="183" ht="15" customHeight="1" s="30">
      <c r="B183" s="50" t="n"/>
      <c r="C183" s="51" t="n"/>
      <c r="D183" s="51" t="n"/>
      <c r="E183" s="36" t="n"/>
      <c r="F183" s="52" t="n"/>
    </row>
    <row r="184" ht="15" customHeight="1" s="30">
      <c r="B184" s="50" t="n"/>
      <c r="C184" s="51" t="n"/>
      <c r="D184" s="51" t="n"/>
      <c r="E184" s="36" t="n"/>
      <c r="F184" s="52" t="n"/>
    </row>
    <row r="185" ht="15" customHeight="1" s="30">
      <c r="B185" s="50" t="n"/>
      <c r="C185" s="51" t="n"/>
      <c r="D185" s="51" t="n"/>
      <c r="E185" s="36" t="n"/>
      <c r="F185" s="52" t="n"/>
    </row>
    <row r="186" ht="15" customHeight="1" s="30">
      <c r="B186" s="50" t="n"/>
      <c r="C186" s="51" t="n"/>
      <c r="D186" s="51" t="n"/>
      <c r="E186" s="36" t="n"/>
      <c r="F186" s="52" t="n"/>
    </row>
    <row r="187" ht="15" customHeight="1" s="30">
      <c r="B187" s="50" t="n"/>
      <c r="C187" s="51" t="n"/>
      <c r="D187" s="51" t="n"/>
      <c r="E187" s="36" t="n"/>
      <c r="F187" s="52" t="n"/>
    </row>
    <row r="188" ht="15" customHeight="1" s="30">
      <c r="B188" s="50" t="n"/>
      <c r="C188" s="51" t="n"/>
      <c r="D188" s="51" t="n"/>
      <c r="E188" s="36" t="n"/>
      <c r="F188" s="52" t="n"/>
    </row>
    <row r="189" ht="15" customHeight="1" s="30">
      <c r="B189" s="50" t="n"/>
      <c r="C189" s="51" t="n"/>
      <c r="D189" s="51" t="n"/>
      <c r="E189" s="36" t="n"/>
      <c r="F189" s="52" t="n"/>
    </row>
    <row r="190" ht="15" customHeight="1" s="30">
      <c r="B190" s="50" t="n"/>
      <c r="C190" s="51" t="n"/>
      <c r="D190" s="51" t="n"/>
      <c r="E190" s="36" t="n"/>
      <c r="F190" s="52" t="n"/>
    </row>
    <row r="191" ht="15" customHeight="1" s="30">
      <c r="B191" s="50" t="n"/>
      <c r="C191" s="51" t="n"/>
      <c r="D191" s="51" t="n"/>
      <c r="E191" s="36" t="n"/>
      <c r="F191" s="52" t="n"/>
    </row>
    <row r="192" ht="15" customHeight="1" s="30">
      <c r="B192" s="50" t="n"/>
      <c r="C192" s="51" t="n"/>
      <c r="D192" s="51" t="n"/>
      <c r="E192" s="36" t="n"/>
      <c r="F192" s="52" t="n"/>
    </row>
    <row r="193" ht="15" customHeight="1" s="30">
      <c r="B193" s="50" t="n"/>
      <c r="C193" s="51" t="n"/>
      <c r="D193" s="51" t="n"/>
      <c r="E193" s="36" t="n"/>
      <c r="F193" s="52" t="n"/>
    </row>
    <row r="194" ht="15" customHeight="1" s="30">
      <c r="B194" s="50" t="n"/>
      <c r="C194" s="51" t="n"/>
      <c r="D194" s="51" t="n"/>
      <c r="E194" s="36" t="n"/>
      <c r="F194" s="52" t="n"/>
    </row>
    <row r="195" ht="15" customHeight="1" s="30">
      <c r="B195" s="50" t="n"/>
      <c r="C195" s="51" t="n"/>
      <c r="D195" s="51" t="n"/>
      <c r="E195" s="36" t="n"/>
      <c r="F195" s="52" t="n"/>
    </row>
    <row r="196" ht="15" customHeight="1" s="30">
      <c r="B196" s="50" t="n"/>
      <c r="C196" s="51" t="n"/>
      <c r="D196" s="51" t="n"/>
      <c r="E196" s="36" t="n"/>
      <c r="F196" s="52" t="n"/>
    </row>
    <row r="197" ht="15" customHeight="1" s="30">
      <c r="B197" s="50" t="n"/>
      <c r="C197" s="51" t="n"/>
      <c r="D197" s="51" t="n"/>
      <c r="E197" s="36" t="n"/>
      <c r="F197" s="52" t="n"/>
    </row>
    <row r="198" ht="15" customHeight="1" s="30">
      <c r="B198" s="50" t="n"/>
      <c r="C198" s="51" t="n"/>
      <c r="D198" s="51" t="n"/>
      <c r="E198" s="36" t="n"/>
      <c r="F198" s="52" t="n"/>
    </row>
    <row r="199" ht="15" customHeight="1" s="30">
      <c r="B199" s="50" t="n"/>
      <c r="C199" s="51" t="n"/>
      <c r="D199" s="51" t="n"/>
      <c r="E199" s="36" t="n"/>
      <c r="F199" s="52" t="n"/>
    </row>
    <row r="200" ht="15" customHeight="1" s="30">
      <c r="B200" s="50" t="n"/>
      <c r="C200" s="51" t="n"/>
      <c r="D200" s="51" t="n"/>
      <c r="E200" s="36" t="n"/>
      <c r="F200" s="52" t="n"/>
    </row>
    <row r="201" ht="15" customHeight="1" s="30">
      <c r="B201" s="50" t="n"/>
      <c r="C201" s="51" t="n"/>
      <c r="D201" s="51" t="n"/>
      <c r="E201" s="36" t="n"/>
      <c r="F201" s="52" t="n"/>
    </row>
    <row r="202" ht="15" customHeight="1" s="30">
      <c r="B202" s="50" t="n"/>
      <c r="C202" s="51" t="n"/>
      <c r="D202" s="51" t="n"/>
      <c r="E202" s="36" t="n"/>
      <c r="F202" s="52" t="n"/>
    </row>
    <row r="203" ht="15" customHeight="1" s="30">
      <c r="B203" s="50" t="n"/>
      <c r="C203" s="51" t="n"/>
      <c r="D203" s="51" t="n"/>
      <c r="E203" s="36" t="n"/>
      <c r="F203" s="52" t="n"/>
    </row>
  </sheetData>
  <mergeCells count="1">
    <mergeCell ref="B1:F1"/>
  </mergeCells>
  <dataValidations count="2">
    <dataValidation sqref="C4:C203" showDropDown="0" showInputMessage="0" showErrorMessage="0" allowBlank="1" errorTitle="Categorie invalidă" error="Selectează o categorie din listă" type="list" errorStyle="stop" operator="between">
      <formula1>"Mâncare &amp; Băuturi,Cumpărături,Sănătate &amp; Farmacie,Haine &amp; Încălțăminte,Cadouri,Restaurante &amp; Cafenele,Divertisment &amp; Gaming,Tehnologie &amp; Gadgeturi,Educație &amp; Cursuri,Diverse"</formula1>
      <formula2>0</formula2>
    </dataValidation>
    <dataValidation sqref="F4:F203" showDropDown="0" showInputMessage="0" showErrorMessage="0" allowBlank="1" type="list" errorStyle="stop" operator="between">
      <formula1>"Cash,Card,Transfer bancar,Online"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B474D"/>
    <outlinePr summaryBelow="1" summaryRight="1"/>
    <pageSetUpPr fitToPage="0"/>
  </sheetPr>
  <dimension ref="B2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9" min="1" max="1"/>
    <col width="28" customWidth="1" style="29" min="2" max="2"/>
    <col width="22" customWidth="1" style="29" min="3" max="3"/>
    <col width="14" customWidth="1" style="29" min="4" max="4"/>
    <col width="22" customWidth="1" style="29" min="5" max="5"/>
    <col width="18" customWidth="1" style="29" min="6" max="6"/>
  </cols>
  <sheetData>
    <row r="2" ht="30" customHeight="1" s="30">
      <c r="B2" s="47" t="inlineStr">
        <is>
          <t>RAPORT CHELTUIELI PE CATEGORII</t>
        </is>
      </c>
    </row>
    <row r="3" ht="15" customHeight="1" s="30">
      <c r="B3" s="48" t="inlineStr">
        <is>
          <t>Totaluri calculate automat din jurnalul de cheltuieli</t>
        </is>
      </c>
    </row>
    <row r="5" ht="15" customHeight="1" s="30">
      <c r="B5" s="34" t="inlineStr">
        <is>
          <t>Categorie</t>
        </is>
      </c>
      <c r="C5" s="34" t="inlineStr">
        <is>
          <t>Total Cheltuit (lei)</t>
        </is>
      </c>
      <c r="D5" s="34" t="inlineStr">
        <is>
          <t>% din Total</t>
        </is>
      </c>
      <c r="E5" s="34" t="inlineStr">
        <is>
          <t>Buget Alocat (lei)</t>
        </is>
      </c>
      <c r="F5" s="34" t="inlineStr">
        <is>
          <t>Diferență (lei)</t>
        </is>
      </c>
    </row>
    <row r="6" ht="15" customHeight="1" s="30">
      <c r="B6" s="35" t="inlineStr">
        <is>
          <t>Mâncare &amp; Băuturi</t>
        </is>
      </c>
      <c r="C6" s="43">
        <f>SUMIF(Cheltuieli!C4:C203,B6,Cheltuieli!E4:E203)</f>
        <v/>
      </c>
      <c r="D6" s="38">
        <f>IF(C16=0,0,C6/C16)</f>
        <v/>
      </c>
      <c r="E6" s="36" t="n">
        <v>0</v>
      </c>
      <c r="F6" s="53">
        <f>E6-C6</f>
        <v/>
      </c>
    </row>
    <row r="7" ht="15" customHeight="1" s="30">
      <c r="B7" s="35" t="inlineStr">
        <is>
          <t>Cumpărături</t>
        </is>
      </c>
      <c r="C7" s="43">
        <f>SUMIF(Cheltuieli!C4:C203,B7,Cheltuieli!E4:E203)</f>
        <v/>
      </c>
      <c r="D7" s="38">
        <f>IF(C16=0,0,C7/C16)</f>
        <v/>
      </c>
      <c r="E7" s="36" t="n">
        <v>0</v>
      </c>
      <c r="F7" s="53">
        <f>E7-C7</f>
        <v/>
      </c>
    </row>
    <row r="8" ht="15" customHeight="1" s="30">
      <c r="B8" s="35" t="inlineStr">
        <is>
          <t>Sănătate &amp; Farmacie</t>
        </is>
      </c>
      <c r="C8" s="43">
        <f>SUMIF(Cheltuieli!C4:C203,B8,Cheltuieli!E4:E203)</f>
        <v/>
      </c>
      <c r="D8" s="38">
        <f>IF(C16=0,0,C8/C16)</f>
        <v/>
      </c>
      <c r="E8" s="36" t="n">
        <v>0</v>
      </c>
      <c r="F8" s="53">
        <f>E8-C8</f>
        <v/>
      </c>
    </row>
    <row r="9" ht="15" customHeight="1" s="30">
      <c r="B9" s="35" t="inlineStr">
        <is>
          <t>Haine &amp; Încălțăminte</t>
        </is>
      </c>
      <c r="C9" s="43">
        <f>SUMIF(Cheltuieli!C4:C203,B9,Cheltuieli!E4:E203)</f>
        <v/>
      </c>
      <c r="D9" s="38">
        <f>IF(C16=0,0,C9/C16)</f>
        <v/>
      </c>
      <c r="E9" s="36" t="n">
        <v>0</v>
      </c>
      <c r="F9" s="53">
        <f>E9-C9</f>
        <v/>
      </c>
    </row>
    <row r="10" ht="15" customHeight="1" s="30">
      <c r="B10" s="35" t="inlineStr">
        <is>
          <t>Cadouri</t>
        </is>
      </c>
      <c r="C10" s="43">
        <f>SUMIF(Cheltuieli!C4:C203,B10,Cheltuieli!E4:E203)</f>
        <v/>
      </c>
      <c r="D10" s="38">
        <f>IF(C16=0,0,C10/C16)</f>
        <v/>
      </c>
      <c r="E10" s="36" t="n">
        <v>0</v>
      </c>
      <c r="F10" s="53">
        <f>E10-C10</f>
        <v/>
      </c>
    </row>
    <row r="11" ht="15" customHeight="1" s="30">
      <c r="B11" s="35" t="inlineStr">
        <is>
          <t>Restaurante &amp; Cafenele</t>
        </is>
      </c>
      <c r="C11" s="43">
        <f>SUMIF(Cheltuieli!C4:C203,B11,Cheltuieli!E4:E203)</f>
        <v/>
      </c>
      <c r="D11" s="38">
        <f>IF(C16=0,0,C11/C16)</f>
        <v/>
      </c>
      <c r="E11" s="36" t="n">
        <v>0</v>
      </c>
      <c r="F11" s="53">
        <f>E11-C11</f>
        <v/>
      </c>
    </row>
    <row r="12" ht="15" customHeight="1" s="30">
      <c r="B12" s="35" t="inlineStr">
        <is>
          <t>Divertisment &amp; Gaming</t>
        </is>
      </c>
      <c r="C12" s="43">
        <f>SUMIF(Cheltuieli!C4:C203,B12,Cheltuieli!E4:E203)</f>
        <v/>
      </c>
      <c r="D12" s="38">
        <f>IF(C16=0,0,C12/C16)</f>
        <v/>
      </c>
      <c r="E12" s="36" t="n">
        <v>0</v>
      </c>
      <c r="F12" s="53">
        <f>E12-C12</f>
        <v/>
      </c>
    </row>
    <row r="13" ht="15" customHeight="1" s="30">
      <c r="B13" s="35" t="inlineStr">
        <is>
          <t>Tehnologie &amp; Gadgeturi</t>
        </is>
      </c>
      <c r="C13" s="43">
        <f>SUMIF(Cheltuieli!C4:C203,B13,Cheltuieli!E4:E203)</f>
        <v/>
      </c>
      <c r="D13" s="38">
        <f>IF(C16=0,0,C13/C16)</f>
        <v/>
      </c>
      <c r="E13" s="36" t="n">
        <v>0</v>
      </c>
      <c r="F13" s="53">
        <f>E13-C13</f>
        <v/>
      </c>
    </row>
    <row r="14" ht="15" customHeight="1" s="30">
      <c r="B14" s="35" t="inlineStr">
        <is>
          <t>Educație &amp; Cursuri</t>
        </is>
      </c>
      <c r="C14" s="43">
        <f>SUMIF(Cheltuieli!C4:C203,B14,Cheltuieli!E4:E203)</f>
        <v/>
      </c>
      <c r="D14" s="38">
        <f>IF(C16=0,0,C14/C16)</f>
        <v/>
      </c>
      <c r="E14" s="36" t="n">
        <v>0</v>
      </c>
      <c r="F14" s="53">
        <f>E14-C14</f>
        <v/>
      </c>
    </row>
    <row r="15" ht="15" customHeight="1" s="30">
      <c r="B15" s="35" t="inlineStr">
        <is>
          <t>Diverse</t>
        </is>
      </c>
      <c r="C15" s="43">
        <f>SUMIF(Cheltuieli!C4:C203,B15,Cheltuieli!E4:E203)</f>
        <v/>
      </c>
      <c r="D15" s="38">
        <f>IF(C16=0,0,C15/C16)</f>
        <v/>
      </c>
      <c r="E15" s="36" t="n">
        <v>0</v>
      </c>
      <c r="F15" s="53">
        <f>E15-C15</f>
        <v/>
      </c>
    </row>
    <row r="16" ht="15" customHeight="1" s="30">
      <c r="B16" s="39" t="inlineStr">
        <is>
          <t>TOTAL</t>
        </is>
      </c>
      <c r="C16" s="54">
        <f>SUM(C6:C15)</f>
        <v/>
      </c>
      <c r="D16" s="55">
        <f>IF(C16=0,0,1)</f>
        <v/>
      </c>
      <c r="E16" s="54">
        <f>SUM(E6:E15)</f>
        <v/>
      </c>
      <c r="F16" s="54">
        <f>SUM(F6:F15)</f>
        <v/>
      </c>
    </row>
    <row r="36" ht="15" customHeight="1" s="30">
      <c r="B36" s="48" t="inlineStr">
        <is>
          <t>Generat: 21.03.2026</t>
        </is>
      </c>
    </row>
  </sheetData>
  <mergeCells count="2">
    <mergeCell ref="B2:F2"/>
    <mergeCell ref="B3:F3"/>
  </mergeCells>
  <conditionalFormatting sqref="F6:F15">
    <cfRule type="cellIs" rank="0" priority="2" equalAverage="0" operator="lessThan" aboveAverage="0" dxfId="3" text="" percent="0" bottom="0">
      <formula>0</formula>
    </cfRule>
    <cfRule type="cellIs" rank="0" priority="3" equalAverage="0" operator="greaterThanOrEqual" aboveAverage="0" dxfId="4" text="" percent="0" bottom="0">
      <formula>0</formula>
    </cfRule>
  </conditionalFormatting>
  <conditionalFormatting sqref="C6:C15">
    <cfRule type="dataBar" priority="4">
      <dataBar minLength="10" maxLength="90" showValue="1">
        <cfvo type="min" val="0"/>
        <cfvo type="max" val="0"/>
        <color rgb="FF01696F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D19900"/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29" min="1" max="1"/>
    <col width="28" customWidth="1" style="29" min="2" max="2"/>
    <col width="14" customWidth="1" style="29" min="3" max="14"/>
  </cols>
  <sheetData>
    <row r="1"/>
    <row r="2" ht="30" customHeight="1" s="30">
      <c r="B2" s="47" t="inlineStr">
        <is>
          <t>EVOLUȚIE BUGET PE 12 LUNI (2026)</t>
        </is>
      </c>
    </row>
    <row r="3" ht="15" customHeight="1" s="30">
      <c r="B3" s="48" t="inlineStr">
        <is>
          <t>Completează manual totalurile lunare pentru a urmări tendințele</t>
        </is>
      </c>
    </row>
    <row r="4"/>
    <row r="5" ht="15" customHeight="1" s="30">
      <c r="B5" s="34" t="inlineStr">
        <is>
          <t>Indicator</t>
        </is>
      </c>
      <c r="C5" s="34" t="inlineStr">
        <is>
          <t>Ian</t>
        </is>
      </c>
      <c r="D5" s="34" t="inlineStr">
        <is>
          <t>Feb</t>
        </is>
      </c>
      <c r="E5" s="34" t="inlineStr">
        <is>
          <t>Mar</t>
        </is>
      </c>
      <c r="F5" s="34" t="inlineStr">
        <is>
          <t>Apr</t>
        </is>
      </c>
      <c r="G5" s="34" t="inlineStr">
        <is>
          <t>Mai</t>
        </is>
      </c>
      <c r="H5" s="34" t="inlineStr">
        <is>
          <t>Iun</t>
        </is>
      </c>
      <c r="I5" s="34" t="inlineStr">
        <is>
          <t>Iul</t>
        </is>
      </c>
      <c r="J5" s="34" t="inlineStr">
        <is>
          <t>Aug</t>
        </is>
      </c>
      <c r="K5" s="34" t="inlineStr">
        <is>
          <t>Sep</t>
        </is>
      </c>
      <c r="L5" s="34" t="inlineStr">
        <is>
          <t>Oct</t>
        </is>
      </c>
      <c r="M5" s="34" t="inlineStr">
        <is>
          <t>Nov</t>
        </is>
      </c>
      <c r="N5" s="34" t="inlineStr">
        <is>
          <t>Dec</t>
        </is>
      </c>
    </row>
    <row r="6" ht="15" customHeight="1" s="30">
      <c r="B6" s="35" t="inlineStr">
        <is>
          <t>Venituri</t>
        </is>
      </c>
      <c r="C6" s="36" t="n">
        <v>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6700</v>
      </c>
      <c r="I6" s="36" t="n">
        <v>6700</v>
      </c>
      <c r="J6" s="36" t="n">
        <v>6700</v>
      </c>
      <c r="K6" s="36" t="n">
        <v>6700</v>
      </c>
      <c r="L6" s="36" t="n">
        <v>6700</v>
      </c>
      <c r="M6" s="36" t="n">
        <v>0</v>
      </c>
      <c r="N6" s="36" t="n">
        <v>0</v>
      </c>
    </row>
    <row r="7" ht="15" customHeight="1" s="30">
      <c r="B7" s="35" t="inlineStr">
        <is>
          <t>Cheltuieli Fixe</t>
        </is>
      </c>
      <c r="C7" s="36" t="n">
        <v>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7755</v>
      </c>
      <c r="I7" s="36" t="n">
        <v>5363</v>
      </c>
      <c r="J7" s="36" t="n">
        <v>4962</v>
      </c>
      <c r="K7" s="36" t="n">
        <v>3672</v>
      </c>
      <c r="L7" s="36" t="n">
        <v>3375</v>
      </c>
      <c r="M7" s="36" t="n">
        <v>0</v>
      </c>
      <c r="N7" s="36" t="n">
        <v>0</v>
      </c>
    </row>
    <row r="8" ht="15" customHeight="1" s="30">
      <c r="B8" s="35" t="inlineStr">
        <is>
          <t>Cheltuieli Variabile</t>
        </is>
      </c>
      <c r="C8" s="36" t="n">
        <v>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100</v>
      </c>
      <c r="I8" s="36" t="n">
        <v>100</v>
      </c>
      <c r="J8" s="36" t="n">
        <v>900</v>
      </c>
      <c r="K8" s="36" t="n">
        <v>900</v>
      </c>
      <c r="L8" s="36" t="n">
        <v>900</v>
      </c>
      <c r="M8" s="36" t="n">
        <v>0</v>
      </c>
      <c r="N8" s="36" t="n">
        <v>0</v>
      </c>
    </row>
    <row r="9" ht="15" customHeight="1" s="30">
      <c r="B9" s="37" t="inlineStr">
        <is>
          <t>Total Cheltuieli</t>
        </is>
      </c>
      <c r="C9" s="56">
        <f>C7+C8</f>
        <v/>
      </c>
      <c r="D9" s="56">
        <f>D7+D8</f>
        <v/>
      </c>
      <c r="E9" s="56">
        <f>E7+E8</f>
        <v/>
      </c>
      <c r="F9" s="56">
        <f>F7+F8</f>
        <v/>
      </c>
      <c r="G9" s="56">
        <f>G7+G8</f>
        <v/>
      </c>
      <c r="H9" s="56">
        <f>H7+H8</f>
        <v/>
      </c>
      <c r="I9" s="56">
        <f>I7+I8</f>
        <v/>
      </c>
      <c r="J9" s="56">
        <f>J7+J8</f>
        <v/>
      </c>
      <c r="K9" s="56">
        <f>K7+K8</f>
        <v/>
      </c>
      <c r="L9" s="56">
        <f>L7+L8</f>
        <v/>
      </c>
      <c r="M9" s="56">
        <f>M7+M8</f>
        <v/>
      </c>
      <c r="N9" s="56">
        <f>N7+N8</f>
        <v/>
      </c>
    </row>
    <row r="10" ht="15" customHeight="1" s="30">
      <c r="B10" s="37" t="inlineStr">
        <is>
          <t>Sold Rămas</t>
        </is>
      </c>
      <c r="C10" s="57">
        <f>C6-C9</f>
        <v/>
      </c>
      <c r="D10" s="57">
        <f>D6-D9</f>
        <v/>
      </c>
      <c r="E10" s="57">
        <f>E6-E9</f>
        <v/>
      </c>
      <c r="F10" s="57">
        <f>F6-F9</f>
        <v/>
      </c>
      <c r="G10" s="57">
        <f>G6-G9</f>
        <v/>
      </c>
      <c r="H10" s="57">
        <f>H6-H9</f>
        <v/>
      </c>
      <c r="I10" s="57">
        <f>I6-I9</f>
        <v/>
      </c>
      <c r="J10" s="57">
        <f>J6-J9</f>
        <v/>
      </c>
      <c r="K10" s="57">
        <f>K6-K9</f>
        <v/>
      </c>
      <c r="L10" s="57">
        <f>L6-L9</f>
        <v/>
      </c>
      <c r="M10" s="57">
        <f>M6-M9</f>
        <v/>
      </c>
      <c r="N10" s="57">
        <f>N6-N9</f>
        <v/>
      </c>
    </row>
    <row r="11" ht="15" customHeight="1" s="30">
      <c r="B11" s="37" t="inlineStr">
        <is>
          <t>% Economisit</t>
        </is>
      </c>
      <c r="C11" s="38">
        <f>IF(C6=0,0,C10/C6)</f>
        <v/>
      </c>
      <c r="D11" s="38">
        <f>IF(D6=0,0,D10/D6)</f>
        <v/>
      </c>
      <c r="E11" s="38">
        <f>IF(E6=0,0,E10/E6)</f>
        <v/>
      </c>
      <c r="F11" s="38">
        <f>IF(F6=0,0,F10/F6)</f>
        <v/>
      </c>
      <c r="G11" s="38">
        <f>IF(G6=0,0,G10/G6)</f>
        <v/>
      </c>
      <c r="H11" s="38">
        <f>IF(H6=0,0,H10/H6)</f>
        <v/>
      </c>
      <c r="I11" s="38">
        <f>IF(I6=0,0,I10/I6)</f>
        <v/>
      </c>
      <c r="J11" s="38">
        <f>IF(J6=0,0,J10/J6)</f>
        <v/>
      </c>
      <c r="K11" s="38">
        <f>IF(K6=0,0,K10/K6)</f>
        <v/>
      </c>
      <c r="L11" s="38">
        <f>IF(L6=0,0,L10/L6)</f>
        <v/>
      </c>
      <c r="M11" s="38">
        <f>IF(M6=0,0,M10/M6)</f>
        <v/>
      </c>
      <c r="N11" s="38">
        <f>IF(N6=0,0,N10/N6)</f>
        <v/>
      </c>
    </row>
  </sheetData>
  <mergeCells count="2">
    <mergeCell ref="B3:N3"/>
    <mergeCell ref="B2:N2"/>
  </mergeCells>
  <conditionalFormatting sqref="C10:N10">
    <cfRule type="cellIs" rank="0" priority="2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30" min="1" max="1"/>
    <col width="12" customWidth="1" style="30" min="2" max="2"/>
    <col width="12" customWidth="1" style="30" min="3" max="3"/>
    <col width="12" customWidth="1" style="30" min="4" max="4"/>
    <col width="12" customWidth="1" style="30" min="5" max="5"/>
    <col width="12" customWidth="1" style="30" min="6" max="6"/>
    <col width="12" customWidth="1" style="30" min="7" max="7"/>
    <col width="45" customWidth="1" style="30" min="8" max="8"/>
  </cols>
  <sheetData>
    <row r="1">
      <c r="A1" s="58" t="inlineStr">
        <is>
          <t>PLAN REFACERE BUGETARA 2026 - MARIUS</t>
        </is>
      </c>
    </row>
    <row r="2">
      <c r="A2" s="59" t="inlineStr">
        <is>
          <t>Generat: 14.06.2026</t>
        </is>
      </c>
    </row>
    <row r="4" ht="22" customHeight="1" s="30">
      <c r="A4" s="60" t="inlineStr">
        <is>
          <t>Categorie</t>
        </is>
      </c>
      <c r="B4" s="60" t="inlineStr">
        <is>
          <t>IUN 2026</t>
        </is>
      </c>
      <c r="C4" s="60" t="inlineStr">
        <is>
          <t>IUL 2026</t>
        </is>
      </c>
      <c r="D4" s="60" t="inlineStr">
        <is>
          <t>AUG 2026</t>
        </is>
      </c>
      <c r="E4" s="60" t="inlineStr">
        <is>
          <t>SEP 2026</t>
        </is>
      </c>
      <c r="F4" s="60" t="inlineStr">
        <is>
          <t>OCT 2026</t>
        </is>
      </c>
      <c r="G4" s="60" t="inlineStr">
        <is>
          <t>NOV 2026</t>
        </is>
      </c>
      <c r="H4" s="60" t="inlineStr">
        <is>
          <t>Note</t>
        </is>
      </c>
    </row>
    <row r="5" ht="18" customHeight="1" s="30">
      <c r="A5" s="61" t="inlineStr">
        <is>
          <t>VENITURI</t>
        </is>
      </c>
      <c r="B5" s="61" t="n">
        <v>6700</v>
      </c>
      <c r="C5" s="61" t="n">
        <v>6700</v>
      </c>
      <c r="D5" s="61" t="n">
        <v>6700</v>
      </c>
      <c r="E5" s="61" t="n">
        <v>6700</v>
      </c>
      <c r="F5" s="61" t="n">
        <v>6700</v>
      </c>
      <c r="G5" s="61" t="n">
        <v>6700</v>
      </c>
      <c r="H5" s="61" t="inlineStr">
        <is>
          <t>Salariu net</t>
        </is>
      </c>
    </row>
    <row r="6" ht="18" customHeight="1" s="30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 ht="18" customHeight="1" s="30">
      <c r="A7" s="61" t="inlineStr">
        <is>
          <t>CHELTUIELI FIXE</t>
        </is>
      </c>
      <c r="B7" s="61" t="inlineStr"/>
      <c r="C7" s="61" t="inlineStr"/>
      <c r="D7" s="61" t="inlineStr"/>
      <c r="E7" s="61" t="inlineStr"/>
      <c r="F7" s="61" t="inlineStr"/>
      <c r="G7" s="61" t="inlineStr"/>
      <c r="H7" s="61" t="inlineStr"/>
    </row>
    <row r="8" ht="18" customHeight="1" s="30">
      <c r="A8" s="62" t="inlineStr">
        <is>
          <t>Credit auto (rata)</t>
        </is>
      </c>
      <c r="B8" s="63" t="n">
        <v>800</v>
      </c>
      <c r="C8" s="63" t="n">
        <v>800</v>
      </c>
      <c r="D8" s="63" t="n">
        <v>800</v>
      </c>
      <c r="E8" s="63" t="n">
        <v>800</v>
      </c>
      <c r="F8" s="63" t="n">
        <v>800</v>
      </c>
      <c r="G8" s="63" t="n">
        <v>800</v>
      </c>
      <c r="H8" s="63" t="inlineStr">
        <is>
          <t>Se termina mar 2027</t>
        </is>
      </c>
    </row>
    <row r="9" ht="18" customHeight="1" s="30">
      <c r="A9" s="64" t="inlineStr">
        <is>
          <t>TBI Bank</t>
        </is>
      </c>
      <c r="B9" s="65" t="n">
        <v>1869</v>
      </c>
      <c r="C9" s="65" t="n">
        <v>1121</v>
      </c>
      <c r="D9" s="65" t="n">
        <v>1121</v>
      </c>
      <c r="E9" s="65" t="n">
        <v>1121</v>
      </c>
      <c r="F9" s="65" t="n">
        <v>1121</v>
      </c>
      <c r="G9" s="65" t="n">
        <v>1121</v>
      </c>
      <c r="H9" s="65" t="inlineStr">
        <is>
          <t>3 rate 4/4 termina in iun → -748 lei/luna din iul</t>
        </is>
      </c>
    </row>
    <row r="10" ht="18" customHeight="1" s="30">
      <c r="A10" s="62" t="inlineStr">
        <is>
          <t>Vodafone</t>
        </is>
      </c>
      <c r="B10" s="63" t="n">
        <v>544</v>
      </c>
      <c r="C10" s="63" t="n">
        <v>373</v>
      </c>
      <c r="D10" s="63" t="n">
        <v>237</v>
      </c>
      <c r="E10" s="63" t="n">
        <v>237</v>
      </c>
      <c r="F10" s="63" t="n">
        <v>237</v>
      </c>
      <c r="G10" s="63" t="n">
        <v>237</v>
      </c>
      <c r="H10" s="63" t="inlineStr">
        <is>
          <t>RED35→minim din 16 iul; dezactivat Disney+/asig/SMS</t>
        </is>
      </c>
    </row>
    <row r="11" ht="18" customHeight="1" s="30">
      <c r="A11" s="64" t="inlineStr">
        <is>
          <t>Orange</t>
        </is>
      </c>
      <c r="B11" s="65" t="n">
        <v>553</v>
      </c>
      <c r="C11" s="65" t="n">
        <v>410</v>
      </c>
      <c r="D11" s="65" t="n">
        <v>262</v>
      </c>
      <c r="E11" s="65" t="n">
        <v>262</v>
      </c>
      <c r="F11" s="65" t="n">
        <v>262</v>
      </c>
      <c r="G11" s="65" t="n">
        <v>262</v>
      </c>
      <c r="H11" s="65" t="inlineStr">
        <is>
          <t>SmartPlus30→minim din aug; dezactivat apps digitale</t>
        </is>
      </c>
    </row>
    <row r="12" ht="18" customHeight="1" s="30">
      <c r="A12" s="62" t="inlineStr">
        <is>
          <t>eMag rate (total)</t>
        </is>
      </c>
      <c r="B12" s="63" t="n">
        <v>534</v>
      </c>
      <c r="C12" s="63" t="n">
        <v>442</v>
      </c>
      <c r="D12" s="63" t="n">
        <v>325</v>
      </c>
      <c r="E12" s="63" t="n">
        <v>297</v>
      </c>
      <c r="F12" s="63" t="n">
        <v>0</v>
      </c>
      <c r="G12" s="63" t="n">
        <v>0</v>
      </c>
      <c r="H12" s="63" t="inlineStr">
        <is>
          <t>Toate ratele terminate in oct 2026</t>
        </is>
      </c>
    </row>
    <row r="13" ht="18" customHeight="1" s="30">
      <c r="A13" s="64" t="inlineStr">
        <is>
          <t>STB (autobuz+metrou)</t>
        </is>
      </c>
      <c r="B13" s="65" t="n">
        <v>160</v>
      </c>
      <c r="C13" s="65" t="n">
        <v>160</v>
      </c>
      <c r="D13" s="65" t="n">
        <v>160</v>
      </c>
      <c r="E13" s="65" t="n">
        <v>160</v>
      </c>
      <c r="F13" s="65" t="n">
        <v>160</v>
      </c>
      <c r="G13" s="65" t="n">
        <v>160</v>
      </c>
      <c r="H13" s="65" t="inlineStr">
        <is>
          <t>Fix</t>
        </is>
      </c>
    </row>
    <row r="14" ht="18" customHeight="1" s="30">
      <c r="A14" s="62" t="inlineStr">
        <is>
          <t>Tigari (26.50/zi x30)</t>
        </is>
      </c>
      <c r="B14" s="63" t="n">
        <v>795</v>
      </c>
      <c r="C14" s="63" t="n">
        <v>795</v>
      </c>
      <c r="D14" s="63" t="n">
        <v>795</v>
      </c>
      <c r="E14" s="63" t="n">
        <v>795</v>
      </c>
      <c r="F14" s="63" t="n">
        <v>795</v>
      </c>
      <c r="G14" s="63" t="n">
        <v>795</v>
      </c>
      <c r="H14" s="63" t="inlineStr">
        <is>
          <t>9.540 lei/an</t>
        </is>
      </c>
    </row>
    <row r="15" ht="18" customHeight="1" s="30">
      <c r="A15" s="64" t="inlineStr">
        <is>
          <t>Mancare</t>
        </is>
      </c>
      <c r="B15" s="65" t="n">
        <v>100</v>
      </c>
      <c r="C15" s="65" t="n">
        <v>100</v>
      </c>
      <c r="D15" s="65" t="n">
        <v>900</v>
      </c>
      <c r="E15" s="65" t="n">
        <v>900</v>
      </c>
      <c r="F15" s="65" t="n">
        <v>900</v>
      </c>
      <c r="G15" s="65" t="n">
        <v>900</v>
      </c>
      <c r="H15" s="65" t="inlineStr">
        <is>
          <t>Iun+iul: de la parinti (paine+ulei)</t>
        </is>
      </c>
    </row>
    <row r="16" ht="18" customHeight="1" s="30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 ht="18" customHeight="1" s="30">
      <c r="A17" s="61" t="inlineStr">
        <is>
          <t>ONE-TIME</t>
        </is>
      </c>
      <c r="B17" s="61" t="inlineStr"/>
      <c r="C17" s="61" t="inlineStr"/>
      <c r="D17" s="61" t="inlineStr"/>
      <c r="E17" s="61" t="inlineStr"/>
      <c r="F17" s="61" t="inlineStr"/>
      <c r="G17" s="61" t="inlineStr"/>
      <c r="H17" s="61" t="inlineStr"/>
    </row>
    <row r="18" ht="18" customHeight="1" s="30">
      <c r="A18" s="66" t="inlineStr">
        <is>
          <t>Axi (recuperat+platit)</t>
        </is>
      </c>
      <c r="B18" s="66" t="n">
        <v>2500</v>
      </c>
      <c r="C18" s="66" t="n">
        <v>0</v>
      </c>
      <c r="D18" s="66" t="n">
        <v>0</v>
      </c>
      <c r="E18" s="66" t="n">
        <v>0</v>
      </c>
      <c r="F18" s="66" t="n">
        <v>0</v>
      </c>
      <c r="G18" s="66" t="n">
        <v>0</v>
      </c>
      <c r="H18" s="66" t="inlineStr">
        <is>
          <t>Recuperezi azi, platesti TBI maine</t>
        </is>
      </c>
    </row>
    <row r="19" ht="18" customHeight="1" s="30">
      <c r="A19" s="66" t="inlineStr">
        <is>
          <t>Fond nunta (500 EUR)</t>
        </is>
      </c>
      <c r="B19" s="66" t="n">
        <v>0</v>
      </c>
      <c r="C19" s="66" t="n">
        <v>1262</v>
      </c>
      <c r="D19" s="66" t="n">
        <v>1262</v>
      </c>
      <c r="E19" s="66" t="n">
        <v>0</v>
      </c>
      <c r="F19" s="66" t="n">
        <v>0</v>
      </c>
      <c r="G19" s="66" t="n">
        <v>0</v>
      </c>
      <c r="H19" s="66" t="inlineStr">
        <is>
          <t>500 EUR @ 5.05 lei = 2525 lei total</t>
        </is>
      </c>
    </row>
    <row r="20" ht="18" customHeight="1" s="30">
      <c r="A20" s="66" t="inlineStr">
        <is>
          <t>Scoala soferi (avans)</t>
        </is>
      </c>
      <c r="B20" s="66" t="n">
        <v>0</v>
      </c>
      <c r="C20" s="66" t="n">
        <v>0</v>
      </c>
      <c r="D20" s="66" t="n">
        <v>0</v>
      </c>
      <c r="E20" s="66" t="n">
        <v>0</v>
      </c>
      <c r="F20" s="66" t="n">
        <v>700</v>
      </c>
      <c r="G20" s="66" t="n">
        <v>0</v>
      </c>
      <c r="H20" s="66" t="inlineStr">
        <is>
          <t>Estimat oct 2026, total ~2500-3500 lei</t>
        </is>
      </c>
    </row>
    <row r="21" ht="18" customHeight="1" s="30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 ht="18" customHeight="1" s="30">
      <c r="A22" s="67" t="inlineStr">
        <is>
          <t>TOTAL CHELTUIELI</t>
        </is>
      </c>
      <c r="B22" s="67" t="n">
        <v>7855</v>
      </c>
      <c r="C22" s="67" t="n">
        <v>5463</v>
      </c>
      <c r="D22" s="67" t="n">
        <v>5862</v>
      </c>
      <c r="E22" s="67" t="n">
        <v>4572</v>
      </c>
      <c r="F22" s="67" t="n">
        <v>4975</v>
      </c>
      <c r="G22" s="67" t="n">
        <v>4275</v>
      </c>
      <c r="H22" s="67" t="inlineStr">
        <is>
          <t>Auto-calculat</t>
        </is>
      </c>
    </row>
    <row r="23" ht="18" customHeight="1" s="30">
      <c r="A23" s="68" t="inlineStr">
        <is>
          <t>DISPONIBIL (dupa toate)</t>
        </is>
      </c>
      <c r="B23" s="69" t="n">
        <v>-1155</v>
      </c>
      <c r="C23" s="70" t="n">
        <v>1237</v>
      </c>
      <c r="D23" s="70" t="n">
        <v>838</v>
      </c>
      <c r="E23" s="70" t="n">
        <v>2128</v>
      </c>
      <c r="F23" s="70" t="n">
        <v>1725</v>
      </c>
      <c r="G23" s="70" t="n">
        <v>2425</v>
      </c>
    </row>
    <row r="24" ht="18" customHeight="1" s="30">
      <c r="A24" s="71" t="inlineStr">
        <is>
          <t>% Economisit</t>
        </is>
      </c>
      <c r="B24" s="71" t="inlineStr">
        <is>
          <t>0%</t>
        </is>
      </c>
      <c r="C24" s="71" t="inlineStr">
        <is>
          <t>18.5%</t>
        </is>
      </c>
      <c r="D24" s="71" t="inlineStr">
        <is>
          <t>12.5%</t>
        </is>
      </c>
      <c r="E24" s="71" t="inlineStr">
        <is>
          <t>31.8%</t>
        </is>
      </c>
      <c r="F24" s="71" t="inlineStr">
        <is>
          <t>25.7%</t>
        </is>
      </c>
      <c r="G24" s="71" t="inlineStr">
        <is>
          <t>36.2%</t>
        </is>
      </c>
    </row>
    <row r="25" ht="18" customHeight="1" s="30"/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2026-03-21T08:00:02Z</dcterms:created>
  <dcterms:modified xmlns:dcterms="http://purl.org/dc/terms/" xmlns:xsi="http://www.w3.org/2001/XMLSchema-instance" xsi:type="dcterms:W3CDTF">2026-06-14T16:41:49Z</dcterms:modified>
  <cp:revision>1</cp:revision>
</cp:coreProperties>
</file>